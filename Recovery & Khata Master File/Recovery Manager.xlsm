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odeTech\Desktop\Recovery &amp; Khata Master File\"/>
    </mc:Choice>
  </mc:AlternateContent>
  <xr:revisionPtr revIDLastSave="0" documentId="13_ncr:1_{1D87E597-DC3E-477B-9A1F-CD8AF5428942}" xr6:coauthVersionLast="47" xr6:coauthVersionMax="47" xr10:uidLastSave="{00000000-0000-0000-0000-000000000000}"/>
  <bookViews>
    <workbookView xWindow="-120" yWindow="-120" windowWidth="20730" windowHeight="11160" activeTab="3" xr2:uid="{4CDE158C-9745-4B35-8AB2-4C059507FC6A}"/>
  </bookViews>
  <sheets>
    <sheet name="Home" sheetId="1" r:id="rId1"/>
    <sheet name="Recovery Template" sheetId="3" r:id="rId2"/>
    <sheet name="Khata Template" sheetId="4" r:id="rId3"/>
    <sheet name="Settings" sheetId="2" r:id="rId4"/>
  </sheets>
  <functionGroups builtInGroupCount="19"/>
  <definedNames>
    <definedName name="_xlnm._FilterDatabase" localSheetId="3" hidden="1">Settings!$O$8:$O$8</definedName>
    <definedName name="_xleta.MONTH" hidden="1" xlm="1">#NAME?</definedName>
    <definedName name="AreaList">tblAreas[Areas]</definedName>
    <definedName name="empList">tblEmployees[Employee Name]</definedName>
    <definedName name="MonthList">tblMonths[Month Name]</definedName>
    <definedName name="recovrHead">'Recovery Template'!$B$1</definedName>
    <definedName name="RefreshStatus">Home!$C$37</definedName>
    <definedName name="RootFolderSettings">tblSettings[Value]</definedName>
    <definedName name="selEmployee">Home!$B$23</definedName>
    <definedName name="selMonth">Home!$B$18</definedName>
    <definedName name="selYear">Home!$B$12</definedName>
    <definedName name="txtRootFolder">Home!$B$10</definedName>
    <definedName name="YearList">tblYears[Year]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5" i="4" l="1"/>
  <c r="E16" i="4"/>
  <c r="E17" i="4"/>
  <c r="E18" i="4"/>
  <c r="E19" i="4"/>
  <c r="E20" i="4"/>
  <c r="E21" i="4"/>
  <c r="E22" i="4"/>
  <c r="E23" i="4"/>
  <c r="E24" i="4"/>
  <c r="E25" i="4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B49" i="3"/>
  <c r="B46" i="3"/>
  <c r="B38" i="4"/>
  <c r="B35" i="4"/>
  <c r="B32" i="4"/>
  <c r="E58" i="3"/>
  <c r="B58" i="3"/>
  <c r="E55" i="3"/>
  <c r="B55" i="3"/>
  <c r="E52" i="3"/>
  <c r="E49" i="3"/>
  <c r="E46" i="3"/>
  <c r="B52" i="3" l="1"/>
  <c r="B61" i="3"/>
</calcChain>
</file>

<file path=xl/sharedStrings.xml><?xml version="1.0" encoding="utf-8"?>
<sst xmlns="http://schemas.openxmlformats.org/spreadsheetml/2006/main" count="100" uniqueCount="86">
  <si>
    <t>Setting</t>
  </si>
  <si>
    <t>Value</t>
  </si>
  <si>
    <t>Employee Name</t>
  </si>
  <si>
    <t>Areas</t>
  </si>
  <si>
    <t>Day Status</t>
  </si>
  <si>
    <t>Root Folder</t>
  </si>
  <si>
    <t>FOLDER MANAGEMENT</t>
  </si>
  <si>
    <t>Year</t>
  </si>
  <si>
    <t>Month</t>
  </si>
  <si>
    <t>Employee</t>
  </si>
  <si>
    <t>Month Name</t>
  </si>
  <si>
    <t>Month No</t>
  </si>
  <si>
    <t>AREAS</t>
  </si>
  <si>
    <t>YEARS</t>
  </si>
  <si>
    <t>MONTHS</t>
  </si>
  <si>
    <t>RECOVERY SYSTEM SETTINGS</t>
  </si>
  <si>
    <t>OUT OF CITY</t>
  </si>
  <si>
    <t>LEAVE</t>
  </si>
  <si>
    <t>WORKING</t>
  </si>
  <si>
    <t>Bill Status</t>
  </si>
  <si>
    <t>RETURNED</t>
  </si>
  <si>
    <t>PAID</t>
  </si>
  <si>
    <t>PARTIAL</t>
  </si>
  <si>
    <t>PTO</t>
  </si>
  <si>
    <t>EMPLOYEES NAMES</t>
  </si>
  <si>
    <t>SALES MAN</t>
  </si>
  <si>
    <t>DATE</t>
  </si>
  <si>
    <t>AREA</t>
  </si>
  <si>
    <t>DAY STATUS</t>
  </si>
  <si>
    <t>Reference No.</t>
  </si>
  <si>
    <t>Shop Name</t>
  </si>
  <si>
    <t>Bill Amount</t>
  </si>
  <si>
    <t>Recovered Amount</t>
  </si>
  <si>
    <t>Remaining Amount</t>
  </si>
  <si>
    <t>Remarks</t>
  </si>
  <si>
    <t>RECOVERY SUMMARY</t>
  </si>
  <si>
    <t>STATUS SUMMARY</t>
  </si>
  <si>
    <t>TOTAL  BILLS  AMOUNT</t>
  </si>
  <si>
    <t>RECOVERED  AMOUNT</t>
  </si>
  <si>
    <t>REMAINING AMOUNT</t>
  </si>
  <si>
    <t>TOTAL  BILLS</t>
  </si>
  <si>
    <t>RETURNED BILLS</t>
  </si>
  <si>
    <t>RECOVERY %</t>
  </si>
  <si>
    <t>BILL STATUS</t>
  </si>
  <si>
    <t>HAND OVER TO SUPPLY MAN</t>
  </si>
  <si>
    <t>Date</t>
  </si>
  <si>
    <t>Description</t>
  </si>
  <si>
    <t>Debit</t>
  </si>
  <si>
    <t>Balance</t>
  </si>
  <si>
    <t>KHATA SUMMARY</t>
  </si>
  <si>
    <t>RECOVERY &amp; KHATA MANAGEMENT SYSTEM</t>
  </si>
  <si>
    <t>RECOVERY REGISTER</t>
  </si>
  <si>
    <t>TOTAL DEBIT</t>
  </si>
  <si>
    <t>TOTAL CREDIT</t>
  </si>
  <si>
    <t>COLOSING BALANCE</t>
  </si>
  <si>
    <t>KHATA REGISTER</t>
  </si>
  <si>
    <t>EMPLOYEE NAME</t>
  </si>
  <si>
    <t>MONTH &amp; YEAR</t>
  </si>
  <si>
    <t>OPENING BALANCE</t>
  </si>
  <si>
    <t>Credit</t>
  </si>
  <si>
    <t/>
  </si>
  <si>
    <t>ROBERT CHEN</t>
  </si>
  <si>
    <t>AMANDA ROSS</t>
  </si>
  <si>
    <t>DAVID KIN</t>
  </si>
  <si>
    <t>JAMES PATEL</t>
  </si>
  <si>
    <t>FOO CITY</t>
  </si>
  <si>
    <t>BAR TOWN</t>
  </si>
  <si>
    <t>FAKETON</t>
  </si>
  <si>
    <t>ATLANTIS</t>
  </si>
  <si>
    <t>SECTOR 00</t>
  </si>
  <si>
    <t>DISTRICT 99</t>
  </si>
  <si>
    <t>BILLS HAND OVER TO SUPPLY MAN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</si>
  <si>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</si>
  <si>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</si>
  <si>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</si>
  <si>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</si>
  <si>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</si>
  <si>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</si>
  <si>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</si>
  <si>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</si>
  <si>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</si>
  <si>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</si>
  <si>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</si>
  <si>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</si>
  <si>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C:\RECOVERY MANAGEMENT SYSTEM</t>
  </si>
  <si>
    <t>D:\RECOVERY MANAGEMENT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</si>
</sst>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9" x14ac:knownFonts="1">
    <font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sz val="16"/>
      <color rgb="FF9C5700"/>
      <name val="Aptos Narrow"/>
      <family val="2"/>
      <scheme val="minor"/>
    </font>
    <font>
      <b/>
      <sz val="18"/>
      <color theme="1" tint="4.9989318521683403E-2"/>
      <name val="Aptos Narrow"/>
      <family val="2"/>
      <scheme val="minor"/>
    </font>
    <font>
      <b/>
      <sz val="36"/>
      <color theme="1" tint="4.9989318521683403E-2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26"/>
      <color theme="1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/>
        <bgColor theme="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1" tint="4.9989318521683403E-2"/>
      </bottom>
      <diagonal/>
    </border>
    <border>
      <left/>
      <right/>
      <top style="medium">
        <color theme="1" tint="4.9989318521683403E-2"/>
      </top>
      <bottom style="medium">
        <color theme="1" tint="4.9989318521683403E-2"/>
      </bottom>
      <diagonal/>
    </border>
    <border>
      <left/>
      <right/>
      <top style="medium">
        <color theme="1" tint="4.9989318521683403E-2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5" borderId="0" applyNumberFormat="0" applyBorder="0" applyAlignment="0" applyProtection="0"/>
  </cellStyleXfs>
  <cellXfs count="151">
    <xf numFmtId="0" fontId="0" fillId="0" borderId="0" xfId="0"/>
    <xf numFmtId="0" fontId="0" fillId="3" borderId="0" xfId="0" applyFill="1"/>
    <xf numFmtId="0" fontId="0" fillId="3" borderId="0" xfId="0" applyFill="1" applyAlignment="1">
      <alignment vertical="center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/>
    <xf numFmtId="0" fontId="2" fillId="3" borderId="0" xfId="0" applyFont="1" applyFill="1" applyAlignment="1">
      <alignment horizontal="left" vertical="top"/>
    </xf>
    <xf numFmtId="0" fontId="6" fillId="0" borderId="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1"/>
    <xf numFmtId="0" fontId="0" fillId="3" borderId="2" xfId="0" applyFill="1" applyBorder="1" applyAlignment="1">
      <alignment vertical="center"/>
    </xf>
    <xf numFmtId="0" fontId="5" fillId="0" borderId="15" xfId="0" applyFont="1" applyBorder="1" applyAlignment="1">
      <alignment horizontal="center" vertical="center"/>
    </xf>
    <xf numFmtId="0" fontId="7" fillId="13" borderId="14" xfId="0" applyFont="1" applyFill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/>
    </xf>
    <xf numFmtId="0" fontId="3" fillId="5" borderId="0" xfId="1" applyBorder="1"/>
    <xf numFmtId="0" fontId="4" fillId="0" borderId="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/>
    </xf>
    <xf numFmtId="164" fontId="1" fillId="0" borderId="6" xfId="0" applyNumberFormat="1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3" fontId="1" fillId="0" borderId="11" xfId="0" applyNumberFormat="1" applyFont="1" applyBorder="1" applyAlignment="1" applyProtection="1">
      <alignment horizontal="center" vertical="center"/>
      <protection locked="0"/>
    </xf>
    <xf numFmtId="3" fontId="1" fillId="0" borderId="11" xfId="0" applyNumberFormat="1" applyFont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3" fontId="6" fillId="0" borderId="9" xfId="0" applyNumberFormat="1" applyFont="1" applyBorder="1" applyAlignment="1" applyProtection="1">
      <alignment horizontal="center" vertical="center"/>
      <protection locked="0"/>
    </xf>
    <xf numFmtId="3" fontId="6" fillId="0" borderId="9" xfId="0" applyNumberFormat="1" applyFont="1" applyBorder="1" applyAlignment="1" applyProtection="1">
      <alignment horizontal="center" vertical="center" wrapText="1"/>
      <protection locked="0"/>
    </xf>
    <xf numFmtId="3" fontId="6" fillId="0" borderId="10" xfId="0" applyNumberFormat="1" applyFont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3" fillId="14" borderId="0" xfId="1" applyFill="1" applyProtection="1">
      <protection locked="0"/>
    </xf>
    <xf numFmtId="3" fontId="3" fillId="14" borderId="0" xfId="1" applyNumberFormat="1" applyFill="1" applyProtection="1">
      <protection locked="0"/>
    </xf>
    <xf numFmtId="0" fontId="14" fillId="14" borderId="0" xfId="1" applyFont="1" applyFill="1" applyAlignment="1" applyProtection="1">
      <alignment horizontal="center" vertical="center"/>
      <protection locked="0"/>
    </xf>
    <xf numFmtId="0" fontId="3" fillId="14" borderId="0" xfId="1" applyFill="1" applyAlignment="1" applyProtection="1">
      <alignment horizontal="center" vertical="center"/>
      <protection locked="0"/>
    </xf>
    <xf numFmtId="0" fontId="3" fillId="14" borderId="0" xfId="1" applyFill="1" applyAlignment="1" applyProtection="1">
      <alignment horizontal="center"/>
      <protection locked="0"/>
    </xf>
    <xf numFmtId="0" fontId="3" fillId="14" borderId="0" xfId="1" applyFill="1"/>
    <xf numFmtId="0" fontId="3" fillId="15" borderId="0" xfId="1" applyFill="1" applyProtection="1"/>
    <xf numFmtId="3" fontId="3" fillId="15" borderId="0" xfId="1" applyNumberFormat="1" applyFill="1" applyProtection="1"/>
    <xf numFmtId="0" fontId="3" fillId="15" borderId="0" xfId="1" applyFill="1" applyAlignment="1" applyProtection="1">
      <alignment horizontal="center"/>
    </xf>
    <xf numFmtId="0" fontId="3" fillId="15" borderId="0" xfId="1" applyFill="1" applyAlignment="1" applyProtection="1">
      <alignment horizontal="center" vertical="center"/>
    </xf>
    <xf numFmtId="0" fontId="14" fillId="15" borderId="0" xfId="1" applyFont="1" applyFill="1" applyAlignment="1" applyProtection="1">
      <alignment horizontal="center" vertical="center"/>
    </xf>
    <xf numFmtId="0" fontId="14" fillId="15" borderId="0" xfId="1" applyFont="1" applyFill="1" applyProtection="1"/>
    <xf numFmtId="3" fontId="16" fillId="15" borderId="0" xfId="1" applyNumberFormat="1" applyFont="1" applyFill="1" applyAlignment="1" applyProtection="1">
      <alignment vertical="center"/>
    </xf>
    <xf numFmtId="0" fontId="3" fillId="15" borderId="0" xfId="1" applyNumberFormat="1" applyFill="1" applyProtection="1"/>
    <xf numFmtId="0" fontId="6" fillId="0" borderId="3" xfId="0" applyFont="1" applyBorder="1" applyAlignment="1" applyProtection="1">
      <alignment horizontal="center" vertical="center"/>
      <protection locked="0"/>
    </xf>
    <xf numFmtId="0" fontId="6" fillId="0" borderId="9" xfId="0" applyFont="1" applyBorder="1" applyAlignment="1" applyProtection="1">
      <alignment horizontal="center" vertical="center"/>
      <protection locked="0"/>
    </xf>
    <xf numFmtId="0" fontId="6" fillId="0" borderId="10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5" fillId="20" borderId="11" xfId="0" applyFont="1" applyFill="1" applyBorder="1" applyAlignment="1">
      <alignment horizontal="center" vertical="center" wrapText="1"/>
    </xf>
    <xf numFmtId="4" fontId="6" fillId="0" borderId="9" xfId="0" applyNumberFormat="1" applyFont="1" applyBorder="1" applyAlignment="1" applyProtection="1">
      <alignment horizontal="center" vertical="center" wrapText="1"/>
      <protection locked="0"/>
    </xf>
    <xf numFmtId="4" fontId="6" fillId="0" borderId="9" xfId="0" applyNumberFormat="1" applyFont="1" applyBorder="1" applyAlignment="1" applyProtection="1">
      <alignment horizontal="center" vertical="center"/>
      <protection locked="0"/>
    </xf>
    <xf numFmtId="3" fontId="6" fillId="20" borderId="9" xfId="0" applyNumberFormat="1" applyFont="1" applyFill="1" applyBorder="1" applyAlignment="1">
      <alignment horizontal="center" vertical="center" wrapText="1"/>
    </xf>
    <xf numFmtId="0" fontId="6" fillId="0" borderId="17" xfId="0" applyFont="1" applyBorder="1" applyAlignment="1" applyProtection="1">
      <alignment horizontal="center" vertical="center"/>
      <protection locked="0"/>
    </xf>
    <xf numFmtId="4" fontId="6" fillId="19" borderId="13" xfId="0" applyNumberFormat="1" applyFont="1" applyFill="1" applyBorder="1" applyAlignment="1">
      <alignment horizontal="center" vertical="center"/>
    </xf>
    <xf numFmtId="4" fontId="6" fillId="19" borderId="9" xfId="0" applyNumberFormat="1" applyFont="1" applyFill="1" applyBorder="1" applyAlignment="1">
      <alignment horizontal="center" vertical="center"/>
    </xf>
    <xf numFmtId="0" fontId="13" fillId="10" borderId="1" xfId="0" applyFont="1" applyFill="1" applyBorder="1" applyAlignment="1" applyProtection="1">
      <alignment horizontal="center" vertical="center"/>
      <protection locked="0"/>
    </xf>
    <xf numFmtId="0" fontId="13" fillId="10" borderId="3" xfId="0" applyFont="1" applyFill="1" applyBorder="1" applyAlignment="1" applyProtection="1">
      <alignment horizontal="center" vertical="center"/>
      <protection locked="0"/>
    </xf>
    <xf numFmtId="0" fontId="13" fillId="10" borderId="4" xfId="0" applyFont="1" applyFill="1" applyBorder="1" applyAlignment="1" applyProtection="1">
      <alignment horizontal="center" vertical="center"/>
      <protection locked="0"/>
    </xf>
    <xf numFmtId="0" fontId="13" fillId="10" borderId="6" xfId="0" applyFont="1" applyFill="1" applyBorder="1" applyAlignment="1" applyProtection="1">
      <alignment horizontal="center" vertical="center"/>
      <protection locked="0"/>
    </xf>
    <xf numFmtId="0" fontId="7" fillId="9" borderId="10" xfId="0" applyFont="1" applyFill="1" applyBorder="1" applyAlignment="1" applyProtection="1">
      <alignment horizontal="center" vertical="center"/>
      <protection locked="0"/>
    </xf>
    <xf numFmtId="0" fontId="7" fillId="9" borderId="11" xfId="0" applyFont="1" applyFill="1" applyBorder="1" applyAlignment="1" applyProtection="1">
      <alignment horizontal="center" vertical="center"/>
      <protection locked="0"/>
    </xf>
    <xf numFmtId="3" fontId="4" fillId="16" borderId="10" xfId="0" applyNumberFormat="1" applyFont="1" applyFill="1" applyBorder="1" applyAlignment="1">
      <alignment horizontal="center" vertical="center"/>
    </xf>
    <xf numFmtId="3" fontId="4" fillId="16" borderId="11" xfId="0" applyNumberFormat="1" applyFont="1" applyFill="1" applyBorder="1" applyAlignment="1">
      <alignment horizontal="center" vertical="center"/>
    </xf>
    <xf numFmtId="3" fontId="11" fillId="9" borderId="10" xfId="0" applyNumberFormat="1" applyFont="1" applyFill="1" applyBorder="1" applyAlignment="1" applyProtection="1">
      <alignment horizontal="center" vertical="center"/>
      <protection locked="0"/>
    </xf>
    <xf numFmtId="3" fontId="11" fillId="9" borderId="11" xfId="0" applyNumberFormat="1" applyFont="1" applyFill="1" applyBorder="1" applyAlignment="1" applyProtection="1">
      <alignment horizontal="center" vertical="center"/>
      <protection locked="0"/>
    </xf>
    <xf numFmtId="3" fontId="1" fillId="17" borderId="10" xfId="0" applyNumberFormat="1" applyFont="1" applyFill="1" applyBorder="1" applyAlignment="1" applyProtection="1">
      <alignment horizontal="center" vertical="center"/>
      <protection locked="0"/>
    </xf>
    <xf numFmtId="3" fontId="1" fillId="17" borderId="11" xfId="0" applyNumberFormat="1" applyFont="1" applyFill="1" applyBorder="1" applyAlignment="1" applyProtection="1">
      <alignment horizontal="center" vertical="center"/>
      <protection locked="0"/>
    </xf>
    <xf numFmtId="0" fontId="3" fillId="14" borderId="0" xfId="1" applyFill="1"/>
    <xf numFmtId="3" fontId="4" fillId="16" borderId="10" xfId="0" applyNumberFormat="1" applyFont="1" applyFill="1" applyBorder="1" applyAlignment="1" applyProtection="1">
      <alignment horizontal="center" vertical="center"/>
      <protection hidden="1"/>
    </xf>
    <xf numFmtId="3" fontId="4" fillId="16" borderId="11" xfId="0" applyNumberFormat="1" applyFont="1" applyFill="1" applyBorder="1" applyAlignment="1" applyProtection="1">
      <alignment horizontal="center" vertical="center"/>
      <protection hidden="1"/>
    </xf>
    <xf numFmtId="3" fontId="16" fillId="17" borderId="0" xfId="1" applyNumberFormat="1" applyFont="1" applyFill="1" applyAlignment="1" applyProtection="1">
      <alignment horizontal="center" vertical="center"/>
      <protection locked="0"/>
    </xf>
    <xf numFmtId="49" fontId="1" fillId="17" borderId="10" xfId="0" applyNumberFormat="1" applyFont="1" applyFill="1" applyBorder="1" applyAlignment="1" applyProtection="1">
      <alignment horizontal="center" vertical="center"/>
      <protection locked="0"/>
    </xf>
    <xf numFmtId="49" fontId="1" fillId="17" borderId="11" xfId="0" applyNumberFormat="1" applyFont="1" applyFill="1" applyBorder="1" applyAlignment="1" applyProtection="1">
      <alignment horizontal="center" vertical="center"/>
      <protection locked="0"/>
    </xf>
    <xf numFmtId="0" fontId="9" fillId="7" borderId="10" xfId="0" applyFont="1" applyFill="1" applyBorder="1" applyAlignment="1">
      <alignment horizontal="center" vertical="center"/>
    </xf>
    <xf numFmtId="0" fontId="9" fillId="7" borderId="11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2" fillId="4" borderId="8" xfId="0" applyFont="1" applyFill="1" applyBorder="1" applyAlignment="1">
      <alignment horizontal="center" vertical="center"/>
    </xf>
    <xf numFmtId="0" fontId="12" fillId="4" borderId="4" xfId="0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0" fontId="12" fillId="4" borderId="6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0" fillId="8" borderId="10" xfId="0" applyFont="1" applyFill="1" applyBorder="1" applyAlignment="1">
      <alignment horizontal="center" vertical="center"/>
    </xf>
    <xf numFmtId="0" fontId="10" fillId="8" borderId="11" xfId="0" applyFont="1" applyFill="1" applyBorder="1" applyAlignment="1">
      <alignment horizontal="center" vertical="center"/>
    </xf>
    <xf numFmtId="0" fontId="11" fillId="9" borderId="9" xfId="0" applyFont="1" applyFill="1" applyBorder="1" applyAlignment="1">
      <alignment horizontal="center" vertical="center"/>
    </xf>
    <xf numFmtId="0" fontId="4" fillId="16" borderId="9" xfId="0" applyFont="1" applyFill="1" applyBorder="1" applyAlignment="1">
      <alignment horizontal="center" vertical="center"/>
    </xf>
    <xf numFmtId="0" fontId="4" fillId="16" borderId="9" xfId="0" applyFont="1" applyFill="1" applyBorder="1" applyAlignment="1" applyProtection="1">
      <alignment horizontal="center" vertical="center"/>
      <protection locked="0"/>
    </xf>
    <xf numFmtId="3" fontId="4" fillId="18" borderId="10" xfId="0" applyNumberFormat="1" applyFont="1" applyFill="1" applyBorder="1" applyAlignment="1">
      <alignment horizontal="center" vertical="center"/>
    </xf>
    <xf numFmtId="3" fontId="4" fillId="18" borderId="11" xfId="0" applyNumberFormat="1" applyFont="1" applyFill="1" applyBorder="1" applyAlignment="1">
      <alignment horizontal="center" vertical="center"/>
    </xf>
    <xf numFmtId="0" fontId="7" fillId="9" borderId="10" xfId="0" applyFont="1" applyFill="1" applyBorder="1" applyAlignment="1">
      <alignment horizontal="center" vertical="center"/>
    </xf>
    <xf numFmtId="0" fontId="7" fillId="9" borderId="11" xfId="0" applyFont="1" applyFill="1" applyBorder="1" applyAlignment="1">
      <alignment horizontal="center" vertical="center"/>
    </xf>
    <xf numFmtId="1" fontId="4" fillId="17" borderId="10" xfId="0" applyNumberFormat="1" applyFont="1" applyFill="1" applyBorder="1" applyAlignment="1">
      <alignment horizontal="center" vertical="center"/>
    </xf>
    <xf numFmtId="1" fontId="4" fillId="17" borderId="11" xfId="0" applyNumberFormat="1" applyFont="1" applyFill="1" applyBorder="1" applyAlignment="1">
      <alignment horizontal="center" vertical="center"/>
    </xf>
    <xf numFmtId="4" fontId="4" fillId="17" borderId="10" xfId="0" applyNumberFormat="1" applyFont="1" applyFill="1" applyBorder="1" applyAlignment="1">
      <alignment horizontal="center" vertical="center"/>
    </xf>
    <xf numFmtId="3" fontId="7" fillId="9" borderId="10" xfId="0" applyNumberFormat="1" applyFont="1" applyFill="1" applyBorder="1" applyAlignment="1">
      <alignment horizontal="center" vertical="center"/>
    </xf>
    <xf numFmtId="3" fontId="7" fillId="9" borderId="11" xfId="0" applyNumberFormat="1" applyFont="1" applyFill="1" applyBorder="1" applyAlignment="1">
      <alignment horizontal="center" vertical="center"/>
    </xf>
    <xf numFmtId="3" fontId="4" fillId="4" borderId="10" xfId="0" applyNumberFormat="1" applyFont="1" applyFill="1" applyBorder="1" applyAlignment="1">
      <alignment horizontal="center" vertical="center"/>
    </xf>
    <xf numFmtId="3" fontId="4" fillId="4" borderId="11" xfId="0" applyNumberFormat="1" applyFont="1" applyFill="1" applyBorder="1" applyAlignment="1">
      <alignment horizontal="center" vertical="center"/>
    </xf>
    <xf numFmtId="4" fontId="4" fillId="17" borderId="11" xfId="0" applyNumberFormat="1" applyFont="1" applyFill="1" applyBorder="1" applyAlignment="1">
      <alignment horizontal="center" vertical="center"/>
    </xf>
    <xf numFmtId="3" fontId="4" fillId="12" borderId="10" xfId="0" applyNumberFormat="1" applyFont="1" applyFill="1" applyBorder="1" applyAlignment="1">
      <alignment horizontal="center" vertical="center"/>
    </xf>
    <xf numFmtId="3" fontId="4" fillId="12" borderId="11" xfId="0" applyNumberFormat="1" applyFont="1" applyFill="1" applyBorder="1" applyAlignment="1">
      <alignment horizontal="center" vertical="center"/>
    </xf>
    <xf numFmtId="3" fontId="4" fillId="14" borderId="10" xfId="0" applyNumberFormat="1" applyFont="1" applyFill="1" applyBorder="1" applyAlignment="1">
      <alignment horizontal="center" vertical="center"/>
    </xf>
    <xf numFmtId="3" fontId="4" fillId="14" borderId="11" xfId="0" applyNumberFormat="1" applyFont="1" applyFill="1" applyBorder="1" applyAlignment="1">
      <alignment horizontal="center" vertical="center"/>
    </xf>
    <xf numFmtId="3" fontId="16" fillId="17" borderId="0" xfId="1" applyNumberFormat="1" applyFont="1" applyFill="1" applyAlignment="1" applyProtection="1">
      <alignment horizontal="center" vertical="center"/>
    </xf>
    <xf numFmtId="10" fontId="4" fillId="17" borderId="10" xfId="0" applyNumberFormat="1" applyFont="1" applyFill="1" applyBorder="1" applyAlignment="1">
      <alignment horizontal="center" vertical="center"/>
    </xf>
    <xf numFmtId="10" fontId="4" fillId="17" borderId="11" xfId="0" applyNumberFormat="1" applyFont="1" applyFill="1" applyBorder="1" applyAlignment="1">
      <alignment horizontal="center" vertical="center"/>
    </xf>
    <xf numFmtId="0" fontId="13" fillId="10" borderId="10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3" fontId="13" fillId="9" borderId="10" xfId="0" applyNumberFormat="1" applyFont="1" applyFill="1" applyBorder="1" applyAlignment="1">
      <alignment horizontal="center" vertical="center"/>
    </xf>
    <xf numFmtId="3" fontId="13" fillId="9" borderId="11" xfId="0" applyNumberFormat="1" applyFont="1" applyFill="1" applyBorder="1" applyAlignment="1">
      <alignment horizontal="center" vertical="center"/>
    </xf>
    <xf numFmtId="3" fontId="4" fillId="11" borderId="10" xfId="0" applyNumberFormat="1" applyFont="1" applyFill="1" applyBorder="1" applyAlignment="1">
      <alignment horizontal="center" vertical="center"/>
    </xf>
    <xf numFmtId="3" fontId="4" fillId="11" borderId="11" xfId="0" applyNumberFormat="1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18" fillId="7" borderId="2" xfId="0" applyFont="1" applyFill="1" applyBorder="1" applyAlignment="1">
      <alignment horizontal="center" vertical="center"/>
    </xf>
    <xf numFmtId="0" fontId="18" fillId="7" borderId="3" xfId="0" applyFont="1" applyFill="1" applyBorder="1" applyAlignment="1">
      <alignment horizontal="center" vertical="center"/>
    </xf>
    <xf numFmtId="0" fontId="18" fillId="7" borderId="7" xfId="0" applyFont="1" applyFill="1" applyBorder="1" applyAlignment="1">
      <alignment horizontal="center" vertical="center"/>
    </xf>
    <xf numFmtId="0" fontId="18" fillId="7" borderId="0" xfId="0" applyFont="1" applyFill="1" applyAlignment="1">
      <alignment horizontal="center" vertical="center"/>
    </xf>
    <xf numFmtId="0" fontId="18" fillId="7" borderId="8" xfId="0" applyFont="1" applyFill="1" applyBorder="1" applyAlignment="1">
      <alignment horizontal="center" vertical="center"/>
    </xf>
    <xf numFmtId="0" fontId="18" fillId="7" borderId="4" xfId="0" applyFont="1" applyFill="1" applyBorder="1" applyAlignment="1">
      <alignment horizontal="center" vertical="center"/>
    </xf>
    <xf numFmtId="0" fontId="18" fillId="7" borderId="5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9" fillId="6" borderId="10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78"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 style="medium">
          <color indexed="64"/>
        </horizontal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theme="1" tint="4.9989318521683403E-2"/>
        </top>
        <bottom style="medium">
          <color theme="1" tint="4.9989318521683403E-2"/>
        </bottom>
        <vertical/>
        <horizontal style="medium">
          <color theme="1" tint="4.9989318521683403E-2"/>
        </horizontal>
      </border>
    </dxf>
    <dxf>
      <border>
        <top style="medium">
          <color theme="1" tint="4.9989318521683403E-2"/>
        </top>
      </border>
    </dxf>
    <dxf>
      <border diagonalUp="0" diagonalDown="0">
        <left style="medium">
          <color theme="1" tint="4.9989318521683403E-2"/>
        </left>
        <right style="medium">
          <color theme="1" tint="4.9989318521683403E-2"/>
        </right>
        <top style="medium">
          <color theme="1" tint="4.9989318521683403E-2"/>
        </top>
        <bottom style="medium">
          <color theme="1" tint="4.9989318521683403E-2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6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 style="medium">
          <color auto="1"/>
        </top>
        <bottom style="medium">
          <color auto="1"/>
        </bottom>
        <vertical style="medium">
          <color auto="1"/>
        </vertical>
      </border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</border>
    </dxf>
    <dxf>
      <border>
        <top style="medium">
          <color auto="1"/>
        </top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 style="medium">
          <color auto="1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 style="medium">
          <color indexed="64"/>
        </horizontal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 style="medium">
          <color indexed="64"/>
        </horizontal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 style="medium">
          <color indexed="64"/>
        </horizontal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border>
        <top style="medium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 style="medium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auto="1"/>
        </top>
        <bottom style="medium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 style="medium">
          <color auto="1"/>
        </top>
        <bottom style="medium">
          <color auto="1"/>
        </bottom>
      </border>
      <protection locked="0" hidden="0"/>
    </dxf>
    <dxf>
      <border>
        <top style="medium">
          <color auto="1"/>
        </top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indent="0" justifyLastLine="0" shrinkToFit="0" readingOrder="0"/>
      <protection locked="0" hidden="0"/>
    </dxf>
    <dxf>
      <border>
        <bottom style="medium">
          <color auto="1"/>
        </bottom>
      </border>
    </dxf>
    <dxf>
      <font>
        <b/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  <protection locked="1" hidden="0"/>
    </dxf>
    <dxf>
      <numFmt numFmtId="165" formatCode=";;;"/>
    </dxf>
    <dxf>
      <fill>
        <patternFill>
          <bgColor rgb="FF40E85C"/>
        </patternFill>
      </fill>
    </dxf>
    <dxf>
      <fill>
        <patternFill>
          <bgColor rgb="FFE95D5D"/>
        </patternFill>
      </fill>
    </dxf>
    <dxf>
      <fill>
        <patternFill>
          <bgColor rgb="FFC1BB43"/>
        </patternFill>
      </fill>
    </dxf>
    <dxf>
      <fill>
        <patternFill>
          <bgColor theme="5" tint="0.39994506668294322"/>
        </patternFill>
      </fill>
    </dxf>
    <dxf>
      <fill>
        <patternFill>
          <bgColor rgb="FF0070C0"/>
        </patternFill>
      </fill>
    </dxf>
    <dxf>
      <fill>
        <patternFill>
          <bgColor theme="9"/>
        </patternFill>
      </fill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auto="1"/>
        </top>
        <bottom style="medium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indexed="64"/>
        </right>
        <top style="medium">
          <color auto="1"/>
        </top>
        <bottom style="medium">
          <color auto="1"/>
        </bottom>
      </border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 style="medium">
          <color auto="1"/>
        </top>
        <bottom style="medium">
          <color auto="1"/>
        </bottom>
      </border>
      <protection locked="0" hidden="0"/>
    </dxf>
    <dxf>
      <border>
        <top style="medium">
          <color auto="1"/>
        </top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center" textRotation="0" indent="0" justifyLastLine="0" shrinkToFit="0" readingOrder="0"/>
      <protection locked="0" hidden="0"/>
    </dxf>
    <dxf>
      <border>
        <bottom style="medium">
          <color auto="1"/>
        </bottom>
      </border>
    </dxf>
    <dxf>
      <font>
        <b/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  <protection locked="0" hidden="0"/>
    </dxf>
    <dxf>
      <fill>
        <patternFill>
          <bgColor rgb="FF0070C0"/>
        </patternFill>
      </fill>
    </dxf>
  </dxfs>
  <tableStyles count="0" defaultTableStyle="TableStyleMedium2" defaultPivotStyle="PivotStyleLight16"/>
  <colors>
    <mruColors>
      <color rgb="FFC1BB43"/>
      <color rgb="FF40E85C"/>
      <color rgb="FF724FD5"/>
      <color rgb="FF9CE6F0"/>
      <color rgb="FFFFFFFF"/>
      <color rgb="FFE95D5D"/>
      <color rgb="FF8684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342899</xdr:colOff>
      <xdr:row>14</xdr:row>
      <xdr:rowOff>47625</xdr:rowOff>
    </xdr:from>
    <xdr:to>
      <xdr:col>1</xdr:col>
      <xdr:colOff>2847975</xdr:colOff>
      <xdr:row>15</xdr:row>
      <xdr:rowOff>276225</xdr:rowOff>
    </xdr:to>
    <xdr:sp macro="[0]!CreateNewYear" textlink="">
      <xdr:nvSpPr>
        <xdr:cNvPr id="2" name="btnCreateYear">
          <a:extLst>
            <a:ext uri="{FF2B5EF4-FFF2-40B4-BE49-F238E27FC236}">
              <a16:creationId xmlns:a16="http://schemas.microsoft.com/office/drawing/2014/main" id="{2D8D2FEA-9F54-0757-E98E-3A477FC44AC7}"/>
            </a:ext>
          </a:extLst>
        </xdr:cNvPr>
        <xdr:cNvSpPr/>
      </xdr:nvSpPr>
      <xdr:spPr>
        <a:xfrm>
          <a:off x="1685924" y="3695700"/>
          <a:ext cx="2505076" cy="428625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Create Year Folder</a:t>
          </a:r>
        </a:p>
      </xdr:txBody>
    </xdr:sp>
    <xdr:clientData/>
  </xdr:twoCellAnchor>
  <xdr:twoCellAnchor>
    <xdr:from>
      <xdr:col>1</xdr:col>
      <xdr:colOff>342897</xdr:colOff>
      <xdr:row>19</xdr:row>
      <xdr:rowOff>190500</xdr:rowOff>
    </xdr:from>
    <xdr:to>
      <xdr:col>1</xdr:col>
      <xdr:colOff>2809874</xdr:colOff>
      <xdr:row>20</xdr:row>
      <xdr:rowOff>295275</xdr:rowOff>
    </xdr:to>
    <xdr:sp macro="[0]!CreateNewMonth" textlink="">
      <xdr:nvSpPr>
        <xdr:cNvPr id="3" name="btnCreateYear">
          <a:extLst>
            <a:ext uri="{FF2B5EF4-FFF2-40B4-BE49-F238E27FC236}">
              <a16:creationId xmlns:a16="http://schemas.microsoft.com/office/drawing/2014/main" id="{88325B5F-9AFA-4FFC-82F5-6AA0D1F46959}"/>
            </a:ext>
          </a:extLst>
        </xdr:cNvPr>
        <xdr:cNvSpPr/>
      </xdr:nvSpPr>
      <xdr:spPr>
        <a:xfrm>
          <a:off x="1685922" y="5162550"/>
          <a:ext cx="2466977" cy="409575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Create Month Folder</a:t>
          </a:r>
        </a:p>
      </xdr:txBody>
    </xdr:sp>
    <xdr:clientData/>
  </xdr:twoCellAnchor>
  <xdr:twoCellAnchor>
    <xdr:from>
      <xdr:col>1</xdr:col>
      <xdr:colOff>342899</xdr:colOff>
      <xdr:row>24</xdr:row>
      <xdr:rowOff>276225</xdr:rowOff>
    </xdr:from>
    <xdr:to>
      <xdr:col>1</xdr:col>
      <xdr:colOff>2886075</xdr:colOff>
      <xdr:row>26</xdr:row>
      <xdr:rowOff>133350</xdr:rowOff>
    </xdr:to>
    <xdr:sp macro="[0]!CreateEmployeeFolder" textlink="">
      <xdr:nvSpPr>
        <xdr:cNvPr id="4" name="btnCreateYear">
          <a:extLst>
            <a:ext uri="{FF2B5EF4-FFF2-40B4-BE49-F238E27FC236}">
              <a16:creationId xmlns:a16="http://schemas.microsoft.com/office/drawing/2014/main" id="{EFB0826B-7D60-45D2-8DB0-594D8F97AB28}"/>
            </a:ext>
          </a:extLst>
        </xdr:cNvPr>
        <xdr:cNvSpPr/>
      </xdr:nvSpPr>
      <xdr:spPr>
        <a:xfrm>
          <a:off x="1685924" y="6562725"/>
          <a:ext cx="2543176" cy="466725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Create Employee Folder</a:t>
          </a:r>
        </a:p>
      </xdr:txBody>
    </xdr:sp>
    <xdr:clientData/>
  </xdr:twoCellAnchor>
  <xdr:twoCellAnchor>
    <xdr:from>
      <xdr:col>0</xdr:col>
      <xdr:colOff>142873</xdr:colOff>
      <xdr:row>27</xdr:row>
      <xdr:rowOff>285750</xdr:rowOff>
    </xdr:from>
    <xdr:to>
      <xdr:col>1</xdr:col>
      <xdr:colOff>2019299</xdr:colOff>
      <xdr:row>30</xdr:row>
      <xdr:rowOff>133352</xdr:rowOff>
    </xdr:to>
    <xdr:sp macro="[0]!CreateRecoveryWorkbook" textlink="">
      <xdr:nvSpPr>
        <xdr:cNvPr id="5" name="btnCreateYear">
          <a:extLst>
            <a:ext uri="{FF2B5EF4-FFF2-40B4-BE49-F238E27FC236}">
              <a16:creationId xmlns:a16="http://schemas.microsoft.com/office/drawing/2014/main" id="{09E89580-1AA7-461A-8CD6-F006D3A92E14}"/>
            </a:ext>
          </a:extLst>
        </xdr:cNvPr>
        <xdr:cNvSpPr/>
      </xdr:nvSpPr>
      <xdr:spPr>
        <a:xfrm>
          <a:off x="142873" y="7305675"/>
          <a:ext cx="3219451" cy="542927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Create Recovery WorkBook</a:t>
          </a:r>
        </a:p>
      </xdr:txBody>
    </xdr:sp>
    <xdr:clientData/>
  </xdr:twoCellAnchor>
  <xdr:twoCellAnchor>
    <xdr:from>
      <xdr:col>1</xdr:col>
      <xdr:colOff>523874</xdr:colOff>
      <xdr:row>31</xdr:row>
      <xdr:rowOff>209550</xdr:rowOff>
    </xdr:from>
    <xdr:to>
      <xdr:col>1</xdr:col>
      <xdr:colOff>2686050</xdr:colOff>
      <xdr:row>34</xdr:row>
      <xdr:rowOff>47625</xdr:rowOff>
    </xdr:to>
    <xdr:sp macro="[0]!RefreshAllEmployeeWorkbooks" textlink="">
      <xdr:nvSpPr>
        <xdr:cNvPr id="6" name="btnCreateYear">
          <a:extLst>
            <a:ext uri="{FF2B5EF4-FFF2-40B4-BE49-F238E27FC236}">
              <a16:creationId xmlns:a16="http://schemas.microsoft.com/office/drawing/2014/main" id="{8D680AC3-CDF7-4C46-AE49-0405149F0180}"/>
            </a:ext>
          </a:extLst>
        </xdr:cNvPr>
        <xdr:cNvSpPr/>
      </xdr:nvSpPr>
      <xdr:spPr>
        <a:xfrm>
          <a:off x="1866899" y="8410575"/>
          <a:ext cx="2162176" cy="523875"/>
        </a:xfrm>
        <a:prstGeom prst="roundRect">
          <a:avLst/>
        </a:prstGeom>
        <a:solidFill>
          <a:schemeClr val="tx2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Refresh Drop</a:t>
          </a:r>
          <a:r>
            <a:rPr lang="en-US" sz="1800" b="1" baseline="0"/>
            <a:t> </a:t>
          </a:r>
          <a:r>
            <a:rPr lang="en-US" sz="1800" b="1"/>
            <a:t>Down</a:t>
          </a:r>
        </a:p>
      </xdr:txBody>
    </xdr:sp>
    <xdr:clientData/>
  </xdr:twoCellAnchor>
  <xdr:twoCellAnchor>
    <xdr:from>
      <xdr:col>1</xdr:col>
      <xdr:colOff>95250</xdr:colOff>
      <xdr:row>36</xdr:row>
      <xdr:rowOff>85725</xdr:rowOff>
    </xdr:from>
    <xdr:to>
      <xdr:col>1</xdr:col>
      <xdr:colOff>3162300</xdr:colOff>
      <xdr:row>39</xdr:row>
      <xdr:rowOff>47625</xdr:rowOff>
    </xdr:to>
    <xdr:sp macro="[0]!WorkDoneCreateBackup" textlink="">
      <xdr:nvSpPr>
        <xdr:cNvPr id="7" name="btnCreateYear">
          <a:extLst>
            <a:ext uri="{FF2B5EF4-FFF2-40B4-BE49-F238E27FC236}">
              <a16:creationId xmlns:a16="http://schemas.microsoft.com/office/drawing/2014/main" id="{55A01AA0-1BA6-4285-9A7A-1013AC5AF46D}"/>
            </a:ext>
          </a:extLst>
        </xdr:cNvPr>
        <xdr:cNvSpPr/>
      </xdr:nvSpPr>
      <xdr:spPr>
        <a:xfrm>
          <a:off x="1438275" y="9353550"/>
          <a:ext cx="3067050" cy="533400"/>
        </a:xfrm>
        <a:prstGeom prst="roundRect">
          <a:avLst/>
        </a:prstGeom>
        <a:solidFill>
          <a:srgbClr val="86843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Work Finish</a:t>
          </a:r>
          <a:r>
            <a:rPr lang="en-US" sz="1800" b="1" baseline="0"/>
            <a:t> &amp; Create BackUp</a:t>
          </a:r>
          <a:endParaRPr lang="en-US" sz="1800" b="1"/>
        </a:p>
      </xdr:txBody>
    </xdr:sp>
    <xdr:clientData/>
  </xdr:twoCellAnchor>
  <xdr:twoCellAnchor>
    <xdr:from>
      <xdr:col>1</xdr:col>
      <xdr:colOff>2438400</xdr:colOff>
      <xdr:row>28</xdr:row>
      <xdr:rowOff>0</xdr:rowOff>
    </xdr:from>
    <xdr:to>
      <xdr:col>4</xdr:col>
      <xdr:colOff>485776</xdr:colOff>
      <xdr:row>30</xdr:row>
      <xdr:rowOff>152402</xdr:rowOff>
    </xdr:to>
    <xdr:sp macro="[0]!CreateKhataWorkbook" textlink="">
      <xdr:nvSpPr>
        <xdr:cNvPr id="8" name="btnCreateYear">
          <a:extLst>
            <a:ext uri="{FF2B5EF4-FFF2-40B4-BE49-F238E27FC236}">
              <a16:creationId xmlns:a16="http://schemas.microsoft.com/office/drawing/2014/main" id="{C4CF1B39-1D54-4385-88B4-015486D93E76}"/>
            </a:ext>
          </a:extLst>
        </xdr:cNvPr>
        <xdr:cNvSpPr/>
      </xdr:nvSpPr>
      <xdr:spPr>
        <a:xfrm>
          <a:off x="3781425" y="7324725"/>
          <a:ext cx="3219451" cy="542927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Create Khata WorkBook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3C935A-9FCB-4E58-9C37-DC3A457EAAEC}" name="tblRecovery" displayName="tblRecovery" ref="A14:G39" totalsRowShown="0" headerRowDxfId="54" dataDxfId="52" headerRowBorderDxfId="53" totalsRowBorderDxfId="51">
  <tableColumns count="7">
    <tableColumn id="1" xr3:uid="{2A871DD1-F579-45C7-80EE-E35AFC9B3CBA}" name="Reference No." dataDxfId="50"/>
    <tableColumn id="2" xr3:uid="{7BB0110E-97A6-4FCE-8293-6F59CFE77628}" name="Shop Name" dataDxfId="49"/>
    <tableColumn id="3" xr3:uid="{31F590D9-5B44-4CE7-B1DE-44742E2509B2}" name="Bill Amount" dataDxfId="48"/>
    <tableColumn id="4" xr3:uid="{DDCA237E-CD19-40EF-BFBE-D9C979AA05A9}" name="Recovered Amount" dataDxfId="47"/>
    <tableColumn id="5" xr3:uid="{443A473E-A309-4164-B036-4C5450AAC9B9}" name="Remaining Amount" dataDxfId="46">
      <calculatedColumnFormula>IF(tblRecovery[[#This Row],[Bill Amount]]="",0,tblRecovery[[#This Row],[Bill Amount]])-IF(tblRecovery[[#This Row],[Recovered Amount]]="",0,tblRecovery[[#This Row],[Recovered Amount]])</calculatedColumnFormula>
    </tableColumn>
    <tableColumn id="6" xr3:uid="{967F036F-5675-4B05-B18D-0536FDB87B3C}" name="Bill Status" dataDxfId="45"/>
    <tableColumn id="7" xr3:uid="{54B23C2B-54AD-47C4-9D2E-61CF7FF41620}" name="Remarks" dataDxfId="4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94ABEA-94B0-41CB-82E4-433D4CAA9DDE}" name="tblKhata" displayName="tblKhata" ref="A14:F25" totalsRowShown="0" headerRowDxfId="76" dataDxfId="74" headerRowBorderDxfId="75" totalsRowBorderDxfId="73">
  <tableColumns count="6">
    <tableColumn id="1" xr3:uid="{8B0B45BD-0A75-4ED1-A735-BA95BDD36B0C}" name="Date" dataDxfId="72"/>
    <tableColumn id="2" xr3:uid="{4DF8378B-78AF-4E2A-ACAD-F4220C1D4E54}" name="Description" dataDxfId="71"/>
    <tableColumn id="3" xr3:uid="{8F433984-E6B9-429E-868C-DB79D9C205E5}" name="Debit" dataDxfId="70"/>
    <tableColumn id="4" xr3:uid="{6DFA9993-3CA1-49E8-9BBF-CC19C2E16E23}" name="Credit" dataDxfId="69"/>
    <tableColumn id="7" xr3:uid="{5AFBC5EA-48C9-4B8B-B7F6-F8C690D49FCF}" name="Balance" dataDxfId="68">
      <calculatedColumnFormula>IF(AND(tblKhata[[#This Row],[Debit]]="",tblKhata[[#This Row],[Credit]]=""),"",SUM($E$8,INDEX(tblKhata[Debit],1):tblKhata[[#This Row],[Debit]])-SUM(INDEX(tblKhata[Credit],1):tblKhata[[#This Row],[Credit]]))</calculatedColumnFormula>
    </tableColumn>
    <tableColumn id="5" xr3:uid="{4AF2000D-797D-4FCE-84B4-FA2ACD5179A0}" name="Remarks" dataDxfId="6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CD48E1-9123-4B6F-8944-44671892EF75}" name="tblSettings" displayName="tblSettings" ref="A8:B10" insertRowShift="1" totalsRowShown="0" headerRowDxfId="43" dataDxfId="41" headerRowBorderDxfId="42" tableBorderDxfId="40" totalsRowBorderDxfId="39">
  <tableColumns count="2">
    <tableColumn id="1" xr3:uid="{8CD73AEF-66BB-4D9C-97AE-E11209B72246}" name="Setting" dataDxfId="38"/>
    <tableColumn id="2" xr3:uid="{EE236772-2865-4485-BA8E-A0C41E6B3AE0}" name="Value" dataDxfId="37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48E7566-88D2-460E-BE77-9A2C545B19AB}" name="tblAreas" displayName="tblAreas" ref="D8:D14" insertRowShift="1" totalsRowShown="0" headerRowDxfId="36" dataDxfId="34" headerRowBorderDxfId="35" tableBorderDxfId="33" totalsRowBorderDxfId="32">
  <tableColumns count="1">
    <tableColumn id="1" xr3:uid="{669B5E95-D4E0-40C0-8CA7-CE78B7384075}" name="Areas" dataDxfId="31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8A2E4B-3145-450C-B59D-F2784D1B3E67}" name="tblDayStatus" displayName="tblDayStatus" ref="M8:M11" totalsRowShown="0" headerRowDxfId="30" dataDxfId="28" headerRowBorderDxfId="29" tableBorderDxfId="27" totalsRowBorderDxfId="26">
  <tableColumns count="1">
    <tableColumn id="1" xr3:uid="{7AFAFAE1-C9BF-4C66-B550-D86AF193C902}" name="Day Status" dataDxfId="25"/>
  </tableColumns>
  <tableStyleInfo name="TableStyleMedium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6D1F08E-FF48-45A3-B409-CB844C4C3356}" name="tblYears" displayName="tblYears" ref="F8:F14" totalsRowShown="0" headerRowDxfId="24" dataDxfId="22" headerRowBorderDxfId="23" tableBorderDxfId="21" totalsRowBorderDxfId="20">
  <tableColumns count="1">
    <tableColumn id="1" xr3:uid="{235F7975-BA48-43A7-A634-E4054FE3776E}" name="Year" dataDxfId="19"/>
  </tableColumns>
  <tableStyleInfo name="TableStyleMedium1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6A2C6B-D85B-4C7C-BBC6-6BFBCE7B9FBF}" name="tblMonths" displayName="tblMonths" ref="H8:I20" totalsRowShown="0" headerRowDxfId="18" dataDxfId="16" headerRowBorderDxfId="17" tableBorderDxfId="15" totalsRowBorderDxfId="14">
  <tableColumns count="2">
    <tableColumn id="5" xr3:uid="{B00EB117-6CDA-4C9F-BBC5-023E28504386}" name="Month No" dataDxfId="13"/>
    <tableColumn id="2" xr3:uid="{1249AFC9-2430-41A8-8F47-D30DFFAB68BD}" name="Month Name" dataDxfId="12"/>
  </tableColumns>
  <tableStyleInfo name="TableStyleMedium1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8EBB371-38FC-4ECC-80EB-057CEFEFA24B}" name="tblEmployees" displayName="tblEmployees" ref="O8:O12" totalsRowShown="0" headerRowDxfId="11" dataDxfId="9" headerRowBorderDxfId="10" tableBorderDxfId="8" totalsRowBorderDxfId="7" dataCellStyle="Normal">
  <tableColumns count="1">
    <tableColumn id="1" xr3:uid="{F13918A2-772A-411F-8F31-56083D98C041}" name="Employee Name" dataDxfId="6" dataCellStyle="Normal"/>
  </tableColumns>
  <tableStyleInfo name="TableStyleMedium1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ADF8798-965E-4BB4-A71C-BE5A4A79C284}" name="tblRecoveryStatus" displayName="tblRecoveryStatus" ref="K8:K13" totalsRowShown="0" headerRowDxfId="5" dataDxfId="3" headerRowBorderDxfId="4" tableBorderDxfId="2" totalsRowBorderDxfId="1">
  <tableColumns count="1">
    <tableColumn id="1" xr3:uid="{0DE40E3A-90C7-4C90-8ED1-27076CD18F21}" name="Bill Status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C3F43F5-EE1E-4F46-96E0-114123700FED}">
  <we:reference id="wa200006009" version="1.0.1.6" store="en-US" storeType="OMEX"/>
  <we:alternateReferences>
    <we:reference id="WA200006009" version="1.0.1.6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455EA-9233-48C1-8D88-CFD8AB8A346C}">
  <sheetPr codeName="Sheet1"/>
  <dimension ref="A1:H43"/>
  <sheetViews>
    <sheetView showGridLines="0" topLeftCell="A11" zoomScaleNormal="100" workbookViewId="0">
      <selection activeCell="B23" sqref="B23:B24"/>
    </sheetView>
  </sheetViews>
  <sheetFormatPr defaultRowHeight="15" x14ac:dyDescent="0.25"/>
  <cols>
    <col min="1" max="1" width="20.140625" style="1" bestFit="1" customWidth="1"/>
    <col min="2" max="2" width="61.5703125" style="1" bestFit="1" customWidth="1"/>
    <col min="3" max="3" width="14" style="1" customWidth="1"/>
    <col min="4" max="16384" width="9.140625" style="1"/>
  </cols>
  <sheetData>
    <row r="1" spans="1:8" x14ac:dyDescent="0.25">
      <c r="A1" s="90" t="s">
        <v>50</v>
      </c>
      <c r="B1" s="91"/>
      <c r="C1" s="91"/>
      <c r="D1" s="91"/>
      <c r="E1" s="91"/>
      <c r="F1" s="91"/>
      <c r="G1" s="91"/>
      <c r="H1" s="92"/>
    </row>
    <row r="2" spans="1:8" x14ac:dyDescent="0.25">
      <c r="A2" s="93"/>
      <c r="B2" s="94"/>
      <c r="C2" s="94"/>
      <c r="D2" s="94"/>
      <c r="E2" s="94"/>
      <c r="F2" s="94"/>
      <c r="G2" s="94"/>
      <c r="H2" s="95"/>
    </row>
    <row r="3" spans="1:8" ht="15.75" thickBot="1" x14ac:dyDescent="0.3">
      <c r="A3" s="96"/>
      <c r="B3" s="97"/>
      <c r="C3" s="97"/>
      <c r="D3" s="97"/>
      <c r="E3" s="97"/>
      <c r="F3" s="97"/>
      <c r="G3" s="97"/>
      <c r="H3" s="98"/>
    </row>
    <row r="5" spans="1:8" ht="15.75" thickBot="1" x14ac:dyDescent="0.3"/>
    <row r="6" spans="1:8" ht="24" x14ac:dyDescent="0.25">
      <c r="A6" s="99" t="s">
        <v>6</v>
      </c>
      <c r="B6" s="100"/>
      <c r="C6" s="100"/>
      <c r="D6" s="101"/>
      <c r="E6" s="3"/>
      <c r="F6" s="2"/>
      <c r="G6" s="2"/>
    </row>
    <row r="7" spans="1:8" ht="24.75" thickBot="1" x14ac:dyDescent="0.3">
      <c r="A7" s="102"/>
      <c r="B7" s="103"/>
      <c r="C7" s="103"/>
      <c r="D7" s="104"/>
      <c r="E7" s="3"/>
      <c r="F7" s="2"/>
      <c r="G7" s="2"/>
    </row>
    <row r="8" spans="1:8" ht="24" x14ac:dyDescent="0.25">
      <c r="E8" s="3"/>
      <c r="F8" s="2"/>
      <c r="G8" s="2"/>
    </row>
    <row r="9" spans="1:8" ht="24.75" thickBot="1" x14ac:dyDescent="0.3">
      <c r="E9" s="3"/>
      <c r="F9" s="2"/>
      <c r="G9" s="2"/>
    </row>
    <row r="10" spans="1:8" ht="24" x14ac:dyDescent="0.25">
      <c r="A10" s="86" t="s">
        <v>5</v>
      </c>
      <c r="B10" s="88" t="s">
        <v>85</v>
      </c>
      <c r="C10" s="5"/>
      <c r="D10" s="5"/>
      <c r="E10" s="5"/>
      <c r="F10" s="3"/>
      <c r="G10" s="2"/>
      <c r="H10" s="2"/>
    </row>
    <row r="11" spans="1:8" ht="16.5" customHeight="1" thickBot="1" x14ac:dyDescent="0.3">
      <c r="A11" s="87"/>
      <c r="B11" s="89"/>
      <c r="C11" s="5"/>
      <c r="D11" s="5"/>
      <c r="E11" s="5"/>
      <c r="F11" s="3"/>
      <c r="G11" s="2"/>
      <c r="H11" s="2"/>
    </row>
    <row r="12" spans="1:8" ht="24" x14ac:dyDescent="0.25">
      <c r="A12" s="86" t="s">
        <v>7</v>
      </c>
      <c r="B12" s="88">
        <v>2026</v>
      </c>
      <c r="C12" s="5"/>
      <c r="D12" s="5"/>
      <c r="E12" s="5"/>
      <c r="F12" s="3"/>
      <c r="G12" s="2"/>
    </row>
    <row r="13" spans="1:8" ht="18.75" customHeight="1" thickBot="1" x14ac:dyDescent="0.3">
      <c r="A13" s="87"/>
      <c r="B13" s="89"/>
      <c r="C13" s="5"/>
      <c r="D13" s="5"/>
      <c r="E13" s="5"/>
      <c r="F13" s="3"/>
      <c r="G13" s="2"/>
    </row>
    <row r="14" spans="1:8" ht="15.75" x14ac:dyDescent="0.25">
      <c r="C14" s="5"/>
      <c r="D14" s="5"/>
      <c r="E14" s="2"/>
      <c r="G14" s="2"/>
      <c r="H14" s="2"/>
    </row>
    <row r="15" spans="1:8" ht="15.75" x14ac:dyDescent="0.25">
      <c r="C15" s="5"/>
      <c r="D15" s="5"/>
      <c r="E15" s="2"/>
    </row>
    <row r="16" spans="1:8" ht="24" x14ac:dyDescent="0.25">
      <c r="C16" s="6"/>
      <c r="D16" s="6"/>
      <c r="E16" s="3"/>
    </row>
    <row r="17" spans="1:7" ht="24.75" thickBot="1" x14ac:dyDescent="0.3">
      <c r="C17" s="6"/>
      <c r="D17" s="6"/>
      <c r="E17" s="3"/>
      <c r="F17" s="2"/>
      <c r="G17" s="2"/>
    </row>
    <row r="18" spans="1:7" ht="24" x14ac:dyDescent="0.25">
      <c r="A18" s="86" t="s">
        <v>8</v>
      </c>
      <c r="B18" s="105" t="s">
        <v>74</v>
      </c>
      <c r="D18" s="2"/>
      <c r="E18" s="3"/>
      <c r="F18" s="2"/>
      <c r="G18" s="2"/>
    </row>
    <row r="19" spans="1:7" ht="15.75" thickBot="1" x14ac:dyDescent="0.3">
      <c r="A19" s="87"/>
      <c r="B19" s="106"/>
      <c r="D19" s="2"/>
      <c r="E19" s="2"/>
      <c r="F19" s="2"/>
      <c r="G19" s="2"/>
    </row>
    <row r="20" spans="1:7" ht="24" x14ac:dyDescent="0.25">
      <c r="A20" s="6"/>
      <c r="E20" s="4"/>
    </row>
    <row r="21" spans="1:7" ht="24" x14ac:dyDescent="0.25">
      <c r="A21" s="6"/>
      <c r="E21" s="4"/>
    </row>
    <row r="22" spans="1:7" ht="15.75" thickBot="1" x14ac:dyDescent="0.3"/>
    <row r="23" spans="1:7" ht="24" x14ac:dyDescent="0.25">
      <c r="A23" s="86" t="s">
        <v>9</v>
      </c>
      <c r="B23" s="88" t="s">
        <v>61</v>
      </c>
      <c r="D23" s="2"/>
      <c r="E23" s="3"/>
      <c r="F23" s="2"/>
      <c r="G23" s="2"/>
    </row>
    <row r="24" spans="1:7" ht="15.75" thickBot="1" x14ac:dyDescent="0.3">
      <c r="A24" s="87"/>
      <c r="B24" s="89"/>
      <c r="D24" s="2"/>
      <c r="E24" s="2"/>
      <c r="F24" s="2"/>
      <c r="G24" s="2"/>
    </row>
    <row r="25" spans="1:7" ht="24" x14ac:dyDescent="0.25">
      <c r="A25" s="7"/>
      <c r="B25" s="18"/>
      <c r="E25" s="4"/>
    </row>
    <row r="26" spans="1:7" ht="24" x14ac:dyDescent="0.25">
      <c r="A26" s="7"/>
      <c r="B26" s="2"/>
      <c r="E26" s="4"/>
    </row>
    <row r="27" spans="1:7" ht="24" x14ac:dyDescent="0.25">
      <c r="A27" s="7"/>
      <c r="B27" s="2"/>
      <c r="E27" s="4"/>
    </row>
    <row r="28" spans="1:7" ht="24" x14ac:dyDescent="0.25">
      <c r="B28" s="2"/>
      <c r="E28" s="4"/>
    </row>
    <row r="29" spans="1:7" x14ac:dyDescent="0.25">
      <c r="B29" s="2"/>
    </row>
    <row r="30" spans="1:7" ht="15.75" x14ac:dyDescent="0.25">
      <c r="B30" s="7"/>
      <c r="D30" s="2"/>
      <c r="E30" s="2"/>
      <c r="F30" s="2"/>
      <c r="G30" s="2"/>
    </row>
    <row r="31" spans="1:7" ht="24" x14ac:dyDescent="0.25">
      <c r="B31" s="7"/>
      <c r="C31" s="2"/>
      <c r="D31" s="3"/>
      <c r="E31" s="3"/>
      <c r="F31" s="3"/>
    </row>
    <row r="32" spans="1:7" ht="24" x14ac:dyDescent="0.25">
      <c r="B32" s="7"/>
      <c r="C32" s="2"/>
      <c r="D32" s="3"/>
      <c r="E32" s="3"/>
      <c r="F32" s="3"/>
    </row>
    <row r="33" spans="2:7" x14ac:dyDescent="0.25">
      <c r="C33" s="2"/>
      <c r="D33" s="2"/>
      <c r="E33" s="2"/>
      <c r="F33" s="2"/>
      <c r="G33" s="2"/>
    </row>
    <row r="34" spans="2:7" x14ac:dyDescent="0.25">
      <c r="B34" s="2"/>
    </row>
    <row r="42" spans="2:7" ht="24" x14ac:dyDescent="0.25">
      <c r="E42" s="4"/>
    </row>
    <row r="43" spans="2:7" ht="24" x14ac:dyDescent="0.25">
      <c r="E43" s="4"/>
    </row>
  </sheetData>
  <mergeCells count="10">
    <mergeCell ref="A23:A24"/>
    <mergeCell ref="B23:B24"/>
    <mergeCell ref="A1:H3"/>
    <mergeCell ref="A6:D7"/>
    <mergeCell ref="A12:A13"/>
    <mergeCell ref="B12:B13"/>
    <mergeCell ref="A10:A11"/>
    <mergeCell ref="B10:B11"/>
    <mergeCell ref="A18:A19"/>
    <mergeCell ref="B18:B19"/>
  </mergeCells>
  <dataValidations count="4">
    <dataValidation type="list" allowBlank="1" showInputMessage="1" showErrorMessage="1" sqref="B12" xr:uid="{ECD36A00-32DD-42F6-A004-16859E5624EB}">
      <formula1>YearList</formula1>
    </dataValidation>
    <dataValidation type="list" allowBlank="1" showInputMessage="1" showErrorMessage="1" sqref="B18" xr:uid="{98CB95B6-EC8A-4E57-ADB0-7B7197EB781E}">
      <formula1>MonthList</formula1>
    </dataValidation>
    <dataValidation type="list" allowBlank="1" showInputMessage="1" showErrorMessage="1" sqref="B10" xr:uid="{F4267B25-3277-4A0A-8718-B515ACFFDA18}">
      <formula1>RootFolderSettings</formula1>
    </dataValidation>
    <dataValidation type="list" allowBlank="1" showInputMessage="1" showErrorMessage="1" sqref="B23:B24" xr:uid="{4FB5FE65-0762-46E1-A9AF-C78A7E3A4D0F}">
      <formula1>empList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2B57A-DE71-4B00-B028-A06F8D35EFD3}">
  <sheetPr codeName="Sheet3"/>
  <dimension ref="A1:M62"/>
  <sheetViews>
    <sheetView zoomScaleNormal="100" workbookViewId="0">
      <selection activeCell="E8" sqref="E8:E9"/>
    </sheetView>
  </sheetViews>
  <sheetFormatPr defaultRowHeight="15" x14ac:dyDescent="0.25"/>
  <cols>
    <col min="1" max="1" width="30" style="46" bestFit="1" customWidth="1"/>
    <col min="2" max="2" width="50.28515625" style="46" customWidth="1"/>
    <col min="3" max="3" width="27.85546875" style="47" customWidth="1"/>
    <col min="4" max="4" width="45.5703125" style="47" bestFit="1" customWidth="1"/>
    <col min="5" max="5" width="28.7109375" style="47" bestFit="1" customWidth="1"/>
    <col min="6" max="6" width="41" style="46" customWidth="1"/>
    <col min="7" max="7" width="34" style="46" customWidth="1"/>
    <col min="8" max="8" width="16" style="46" bestFit="1" customWidth="1"/>
    <col min="9" max="9" width="15.85546875" style="46" customWidth="1"/>
    <col min="10" max="10" width="12.42578125" style="46" customWidth="1"/>
    <col min="11" max="12" width="9.140625" style="46"/>
    <col min="13" max="13" width="10.28515625" style="46" bestFit="1" customWidth="1"/>
    <col min="14" max="16384" width="9.140625" style="46"/>
  </cols>
  <sheetData>
    <row r="1" spans="1:13" ht="15" customHeight="1" x14ac:dyDescent="0.25">
      <c r="B1" s="126" t="s">
        <v>51</v>
      </c>
      <c r="C1" s="126"/>
      <c r="D1" s="126"/>
      <c r="E1" s="52"/>
      <c r="F1" s="52"/>
      <c r="G1" s="52"/>
    </row>
    <row r="2" spans="1:13" ht="15" customHeight="1" x14ac:dyDescent="0.25">
      <c r="B2" s="126"/>
      <c r="C2" s="126"/>
      <c r="D2" s="126"/>
      <c r="E2" s="52"/>
      <c r="F2" s="52"/>
      <c r="G2" s="52"/>
    </row>
    <row r="3" spans="1:13" ht="15" customHeight="1" x14ac:dyDescent="0.25">
      <c r="B3" s="126"/>
      <c r="C3" s="126"/>
      <c r="D3" s="126"/>
      <c r="E3" s="52"/>
      <c r="F3" s="52"/>
      <c r="G3" s="52"/>
    </row>
    <row r="5" spans="1:13" ht="15.75" thickBot="1" x14ac:dyDescent="0.3"/>
    <row r="6" spans="1:13" ht="15.75" thickBot="1" x14ac:dyDescent="0.3">
      <c r="A6" s="107" t="s">
        <v>25</v>
      </c>
      <c r="B6" s="53"/>
      <c r="C6" s="107" t="s">
        <v>26</v>
      </c>
      <c r="D6" s="53"/>
      <c r="E6" s="107" t="s">
        <v>27</v>
      </c>
      <c r="F6" s="53"/>
      <c r="G6" s="107" t="s">
        <v>28</v>
      </c>
      <c r="H6" s="48"/>
    </row>
    <row r="7" spans="1:13" ht="15.75" thickBot="1" x14ac:dyDescent="0.3">
      <c r="A7" s="107"/>
      <c r="B7" s="53"/>
      <c r="C7" s="107"/>
      <c r="D7" s="53"/>
      <c r="E7" s="107"/>
      <c r="F7" s="53"/>
      <c r="G7" s="107"/>
      <c r="H7" s="48"/>
      <c r="M7" s="49"/>
    </row>
    <row r="8" spans="1:13" ht="15.75" thickBot="1" x14ac:dyDescent="0.3">
      <c r="A8" s="108"/>
      <c r="C8" s="108"/>
      <c r="E8" s="109"/>
      <c r="G8" s="109"/>
      <c r="H8" s="48"/>
      <c r="M8" s="49"/>
    </row>
    <row r="9" spans="1:13" ht="15.75" thickBot="1" x14ac:dyDescent="0.3">
      <c r="A9" s="108"/>
      <c r="C9" s="108"/>
      <c r="E9" s="109"/>
      <c r="G9" s="109"/>
      <c r="H9" s="48"/>
      <c r="M9" s="49"/>
    </row>
    <row r="10" spans="1:13" x14ac:dyDescent="0.25">
      <c r="G10" s="48"/>
      <c r="H10" s="48"/>
      <c r="M10" s="49"/>
    </row>
    <row r="11" spans="1:13" x14ac:dyDescent="0.25">
      <c r="G11" s="48"/>
      <c r="H11" s="48"/>
      <c r="M11" s="49"/>
    </row>
    <row r="14" spans="1:13" ht="24.75" thickBot="1" x14ac:dyDescent="0.3">
      <c r="A14" s="57" t="s">
        <v>29</v>
      </c>
      <c r="B14" s="58" t="s">
        <v>30</v>
      </c>
      <c r="C14" s="58" t="s">
        <v>31</v>
      </c>
      <c r="D14" s="59" t="s">
        <v>32</v>
      </c>
      <c r="E14" s="61" t="s">
        <v>33</v>
      </c>
      <c r="F14" s="58" t="s">
        <v>19</v>
      </c>
      <c r="G14" s="60" t="s">
        <v>34</v>
      </c>
    </row>
    <row r="15" spans="1:13" ht="21.75" thickBot="1" x14ac:dyDescent="0.3">
      <c r="A15" s="33"/>
      <c r="B15" s="55"/>
      <c r="C15" s="35"/>
      <c r="D15" s="34"/>
      <c r="E15" s="64">
        <f>IF(tblRecovery[[#This Row],[Bill Amount]]="",0,tblRecovery[[#This Row],[Bill Amount]])-IF(tblRecovery[[#This Row],[Recovered Amount]]="",0,tblRecovery[[#This Row],[Recovered Amount]])</f>
        <v>0</v>
      </c>
      <c r="F15" s="55"/>
      <c r="G15" s="37"/>
    </row>
    <row r="16" spans="1:13" ht="21.75" thickBot="1" x14ac:dyDescent="0.3">
      <c r="A16" s="33"/>
      <c r="B16" s="55"/>
      <c r="C16" s="35"/>
      <c r="D16" s="34"/>
      <c r="E16" s="64">
        <f>IF(tblRecovery[[#This Row],[Bill Amount]]="",0,tblRecovery[[#This Row],[Bill Amount]])-IF(tblRecovery[[#This Row],[Recovered Amount]]="",0,tblRecovery[[#This Row],[Recovered Amount]])</f>
        <v>0</v>
      </c>
      <c r="F16" s="55"/>
      <c r="G16" s="37"/>
    </row>
    <row r="17" spans="1:7" ht="21.75" thickBot="1" x14ac:dyDescent="0.3">
      <c r="A17" s="33"/>
      <c r="B17" s="55"/>
      <c r="C17" s="35"/>
      <c r="D17" s="34"/>
      <c r="E17" s="64">
        <f>IF(tblRecovery[[#This Row],[Bill Amount]]="",0,tblRecovery[[#This Row],[Bill Amount]])-IF(tblRecovery[[#This Row],[Recovered Amount]]="",0,tblRecovery[[#This Row],[Recovered Amount]])</f>
        <v>0</v>
      </c>
      <c r="F17" s="55"/>
      <c r="G17" s="37"/>
    </row>
    <row r="18" spans="1:7" ht="21.75" thickBot="1" x14ac:dyDescent="0.3">
      <c r="A18" s="33"/>
      <c r="B18" s="55"/>
      <c r="C18" s="34"/>
      <c r="D18" s="34"/>
      <c r="E18" s="64">
        <f>IF(tblRecovery[[#This Row],[Bill Amount]]="",0,tblRecovery[[#This Row],[Bill Amount]])-IF(tblRecovery[[#This Row],[Recovered Amount]]="",0,tblRecovery[[#This Row],[Recovered Amount]])</f>
        <v>0</v>
      </c>
      <c r="F18" s="55"/>
      <c r="G18" s="37"/>
    </row>
    <row r="19" spans="1:7" ht="21.75" thickBot="1" x14ac:dyDescent="0.3">
      <c r="A19" s="33"/>
      <c r="B19" s="55"/>
      <c r="C19" s="34"/>
      <c r="D19" s="34"/>
      <c r="E19" s="64">
        <f>IF(tblRecovery[[#This Row],[Bill Amount]]="",0,tblRecovery[[#This Row],[Bill Amount]])-IF(tblRecovery[[#This Row],[Recovered Amount]]="",0,tblRecovery[[#This Row],[Recovered Amount]])</f>
        <v>0</v>
      </c>
      <c r="F19" s="55"/>
      <c r="G19" s="37"/>
    </row>
    <row r="20" spans="1:7" ht="21.75" thickBot="1" x14ac:dyDescent="0.3">
      <c r="A20" s="33"/>
      <c r="B20" s="55"/>
      <c r="C20" s="34"/>
      <c r="D20" s="34"/>
      <c r="E20" s="64">
        <f>IF(tblRecovery[[#This Row],[Bill Amount]]="",0,tblRecovery[[#This Row],[Bill Amount]])-IF(tblRecovery[[#This Row],[Recovered Amount]]="",0,tblRecovery[[#This Row],[Recovered Amount]])</f>
        <v>0</v>
      </c>
      <c r="F20" s="55"/>
      <c r="G20" s="37"/>
    </row>
    <row r="21" spans="1:7" ht="21.75" thickBot="1" x14ac:dyDescent="0.3">
      <c r="A21" s="33"/>
      <c r="B21" s="55"/>
      <c r="C21" s="34"/>
      <c r="D21" s="34"/>
      <c r="E21" s="64">
        <f>IF(tblRecovery[[#This Row],[Bill Amount]]="",0,tblRecovery[[#This Row],[Bill Amount]])-IF(tblRecovery[[#This Row],[Recovered Amount]]="",0,tblRecovery[[#This Row],[Recovered Amount]])</f>
        <v>0</v>
      </c>
      <c r="F21" s="55"/>
      <c r="G21" s="37"/>
    </row>
    <row r="22" spans="1:7" ht="21.75" thickBot="1" x14ac:dyDescent="0.3">
      <c r="A22" s="33"/>
      <c r="B22" s="55"/>
      <c r="C22" s="34"/>
      <c r="D22" s="34"/>
      <c r="E22" s="64">
        <f>IF(tblRecovery[[#This Row],[Bill Amount]]="",0,tblRecovery[[#This Row],[Bill Amount]])-IF(tblRecovery[[#This Row],[Recovered Amount]]="",0,tblRecovery[[#This Row],[Recovered Amount]])</f>
        <v>0</v>
      </c>
      <c r="F22" s="55"/>
      <c r="G22" s="37"/>
    </row>
    <row r="23" spans="1:7" ht="21.75" thickBot="1" x14ac:dyDescent="0.3">
      <c r="A23" s="33"/>
      <c r="B23" s="55"/>
      <c r="C23" s="34"/>
      <c r="D23" s="34"/>
      <c r="E23" s="64">
        <f>IF(tblRecovery[[#This Row],[Bill Amount]]="",0,tblRecovery[[#This Row],[Bill Amount]])-IF(tblRecovery[[#This Row],[Recovered Amount]]="",0,tblRecovery[[#This Row],[Recovered Amount]])</f>
        <v>0</v>
      </c>
      <c r="F23" s="55"/>
      <c r="G23" s="37"/>
    </row>
    <row r="24" spans="1:7" ht="21.75" thickBot="1" x14ac:dyDescent="0.3">
      <c r="A24" s="33"/>
      <c r="B24" s="55"/>
      <c r="C24" s="34"/>
      <c r="D24" s="34"/>
      <c r="E24" s="64">
        <f>IF(tblRecovery[[#This Row],[Bill Amount]]="",0,tblRecovery[[#This Row],[Bill Amount]])-IF(tblRecovery[[#This Row],[Recovered Amount]]="",0,tblRecovery[[#This Row],[Recovered Amount]])</f>
        <v>0</v>
      </c>
      <c r="F24" s="55"/>
      <c r="G24" s="37"/>
    </row>
    <row r="25" spans="1:7" ht="21.75" thickBot="1" x14ac:dyDescent="0.3">
      <c r="A25" s="33"/>
      <c r="B25" s="55"/>
      <c r="C25" s="34"/>
      <c r="D25" s="34"/>
      <c r="E25" s="64">
        <f>IF(tblRecovery[[#This Row],[Bill Amount]]="",0,tblRecovery[[#This Row],[Bill Amount]])-IF(tblRecovery[[#This Row],[Recovered Amount]]="",0,tblRecovery[[#This Row],[Recovered Amount]])</f>
        <v>0</v>
      </c>
      <c r="F25" s="55"/>
      <c r="G25" s="37"/>
    </row>
    <row r="26" spans="1:7" ht="21.75" thickBot="1" x14ac:dyDescent="0.3">
      <c r="A26" s="33"/>
      <c r="B26" s="55"/>
      <c r="C26" s="34"/>
      <c r="D26" s="34"/>
      <c r="E26" s="64">
        <f>IF(tblRecovery[[#This Row],[Bill Amount]]="",0,tblRecovery[[#This Row],[Bill Amount]])-IF(tblRecovery[[#This Row],[Recovered Amount]]="",0,tblRecovery[[#This Row],[Recovered Amount]])</f>
        <v>0</v>
      </c>
      <c r="F26" s="55"/>
      <c r="G26" s="37"/>
    </row>
    <row r="27" spans="1:7" ht="21.75" thickBot="1" x14ac:dyDescent="0.3">
      <c r="A27" s="33"/>
      <c r="B27" s="55"/>
      <c r="C27" s="34"/>
      <c r="D27" s="34"/>
      <c r="E27" s="64">
        <f>IF(tblRecovery[[#This Row],[Bill Amount]]="",0,tblRecovery[[#This Row],[Bill Amount]])-IF(tblRecovery[[#This Row],[Recovered Amount]]="",0,tblRecovery[[#This Row],[Recovered Amount]])</f>
        <v>0</v>
      </c>
      <c r="F27" s="55"/>
      <c r="G27" s="37"/>
    </row>
    <row r="28" spans="1:7" ht="21.75" thickBot="1" x14ac:dyDescent="0.3">
      <c r="A28" s="33"/>
      <c r="B28" s="55"/>
      <c r="C28" s="34"/>
      <c r="D28" s="34"/>
      <c r="E28" s="64">
        <f>IF(tblRecovery[[#This Row],[Bill Amount]]="",0,tblRecovery[[#This Row],[Bill Amount]])-IF(tblRecovery[[#This Row],[Recovered Amount]]="",0,tblRecovery[[#This Row],[Recovered Amount]])</f>
        <v>0</v>
      </c>
      <c r="F28" s="55"/>
      <c r="G28" s="37"/>
    </row>
    <row r="29" spans="1:7" ht="21.75" thickBot="1" x14ac:dyDescent="0.3">
      <c r="A29" s="33"/>
      <c r="B29" s="55"/>
      <c r="C29" s="34"/>
      <c r="D29" s="34"/>
      <c r="E29" s="64">
        <f>IF(tblRecovery[[#This Row],[Bill Amount]]="",0,tblRecovery[[#This Row],[Bill Amount]])-IF(tblRecovery[[#This Row],[Recovered Amount]]="",0,tblRecovery[[#This Row],[Recovered Amount]])</f>
        <v>0</v>
      </c>
      <c r="F29" s="55"/>
      <c r="G29" s="37"/>
    </row>
    <row r="30" spans="1:7" ht="21.75" thickBot="1" x14ac:dyDescent="0.3">
      <c r="A30" s="33"/>
      <c r="B30" s="55"/>
      <c r="C30" s="34"/>
      <c r="D30" s="34"/>
      <c r="E30" s="64">
        <f>IF(tblRecovery[[#This Row],[Bill Amount]]="",0,tblRecovery[[#This Row],[Bill Amount]])-IF(tblRecovery[[#This Row],[Recovered Amount]]="",0,tblRecovery[[#This Row],[Recovered Amount]])</f>
        <v>0</v>
      </c>
      <c r="F30" s="55"/>
      <c r="G30" s="37"/>
    </row>
    <row r="31" spans="1:7" ht="21.75" thickBot="1" x14ac:dyDescent="0.3">
      <c r="A31" s="33"/>
      <c r="B31" s="55"/>
      <c r="C31" s="34"/>
      <c r="D31" s="34"/>
      <c r="E31" s="64">
        <f>IF(tblRecovery[[#This Row],[Bill Amount]]="",0,tblRecovery[[#This Row],[Bill Amount]])-IF(tblRecovery[[#This Row],[Recovered Amount]]="",0,tblRecovery[[#This Row],[Recovered Amount]])</f>
        <v>0</v>
      </c>
      <c r="F31" s="55"/>
      <c r="G31" s="37"/>
    </row>
    <row r="32" spans="1:7" ht="21.75" thickBot="1" x14ac:dyDescent="0.3">
      <c r="A32" s="33"/>
      <c r="B32" s="55"/>
      <c r="C32" s="34"/>
      <c r="D32" s="34"/>
      <c r="E32" s="64">
        <f>IF(tblRecovery[[#This Row],[Bill Amount]]="",0,tblRecovery[[#This Row],[Bill Amount]])-IF(tblRecovery[[#This Row],[Recovered Amount]]="",0,tblRecovery[[#This Row],[Recovered Amount]])</f>
        <v>0</v>
      </c>
      <c r="F32" s="55"/>
      <c r="G32" s="37"/>
    </row>
    <row r="33" spans="1:7" ht="21.75" thickBot="1" x14ac:dyDescent="0.3">
      <c r="A33" s="33"/>
      <c r="B33" s="55"/>
      <c r="C33" s="34"/>
      <c r="D33" s="34"/>
      <c r="E33" s="64">
        <f>IF(tblRecovery[[#This Row],[Bill Amount]]="",0,tblRecovery[[#This Row],[Bill Amount]])-IF(tblRecovery[[#This Row],[Recovered Amount]]="",0,tblRecovery[[#This Row],[Recovered Amount]])</f>
        <v>0</v>
      </c>
      <c r="F33" s="55"/>
      <c r="G33" s="37"/>
    </row>
    <row r="34" spans="1:7" ht="21.75" thickBot="1" x14ac:dyDescent="0.3">
      <c r="A34" s="33"/>
      <c r="B34" s="55"/>
      <c r="C34" s="34"/>
      <c r="D34" s="34"/>
      <c r="E34" s="64">
        <f>IF(tblRecovery[[#This Row],[Bill Amount]]="",0,tblRecovery[[#This Row],[Bill Amount]])-IF(tblRecovery[[#This Row],[Recovered Amount]]="",0,tblRecovery[[#This Row],[Recovered Amount]])</f>
        <v>0</v>
      </c>
      <c r="F34" s="55"/>
      <c r="G34" s="37"/>
    </row>
    <row r="35" spans="1:7" ht="21.75" thickBot="1" x14ac:dyDescent="0.3">
      <c r="A35" s="33"/>
      <c r="B35" s="55"/>
      <c r="C35" s="34"/>
      <c r="D35" s="34"/>
      <c r="E35" s="64">
        <f>IF(tblRecovery[[#This Row],[Bill Amount]]="",0,tblRecovery[[#This Row],[Bill Amount]])-IF(tblRecovery[[#This Row],[Recovered Amount]]="",0,tblRecovery[[#This Row],[Recovered Amount]])</f>
        <v>0</v>
      </c>
      <c r="F35" s="55"/>
      <c r="G35" s="37"/>
    </row>
    <row r="36" spans="1:7" ht="21.75" thickBot="1" x14ac:dyDescent="0.3">
      <c r="A36" s="33"/>
      <c r="B36" s="55"/>
      <c r="C36" s="34"/>
      <c r="D36" s="34"/>
      <c r="E36" s="64">
        <f>IF(tblRecovery[[#This Row],[Bill Amount]]="",0,tblRecovery[[#This Row],[Bill Amount]])-IF(tblRecovery[[#This Row],[Recovered Amount]]="",0,tblRecovery[[#This Row],[Recovered Amount]])</f>
        <v>0</v>
      </c>
      <c r="F36" s="55"/>
      <c r="G36" s="37"/>
    </row>
    <row r="37" spans="1:7" ht="21.75" thickBot="1" x14ac:dyDescent="0.3">
      <c r="A37" s="33"/>
      <c r="B37" s="55"/>
      <c r="C37" s="34"/>
      <c r="D37" s="34"/>
      <c r="E37" s="64">
        <f>IF(tblRecovery[[#This Row],[Bill Amount]]="",0,tblRecovery[[#This Row],[Bill Amount]])-IF(tblRecovery[[#This Row],[Recovered Amount]]="",0,tblRecovery[[#This Row],[Recovered Amount]])</f>
        <v>0</v>
      </c>
      <c r="F37" s="55"/>
      <c r="G37" s="37"/>
    </row>
    <row r="38" spans="1:7" ht="21.75" thickBot="1" x14ac:dyDescent="0.3">
      <c r="A38" s="33"/>
      <c r="B38" s="55"/>
      <c r="C38" s="34"/>
      <c r="D38" s="34"/>
      <c r="E38" s="64">
        <f>IF(tblRecovery[[#This Row],[Bill Amount]]="",0,tblRecovery[[#This Row],[Bill Amount]])-IF(tblRecovery[[#This Row],[Recovered Amount]]="",0,tblRecovery[[#This Row],[Recovered Amount]])</f>
        <v>0</v>
      </c>
      <c r="F38" s="55"/>
      <c r="G38" s="37"/>
    </row>
    <row r="39" spans="1:7" ht="21.75" thickBot="1" x14ac:dyDescent="0.3">
      <c r="A39" s="54"/>
      <c r="B39" s="56"/>
      <c r="C39" s="36"/>
      <c r="D39" s="36"/>
      <c r="E39" s="64">
        <f>IF(tblRecovery[[#This Row],[Bill Amount]]="",0,tblRecovery[[#This Row],[Bill Amount]])-IF(tblRecovery[[#This Row],[Recovered Amount]]="",0,tblRecovery[[#This Row],[Recovered Amount]])</f>
        <v>0</v>
      </c>
      <c r="F39" s="56"/>
      <c r="G39" s="39"/>
    </row>
    <row r="42" spans="1:7" ht="15.75" thickBot="1" x14ac:dyDescent="0.3"/>
    <row r="43" spans="1:7" x14ac:dyDescent="0.25">
      <c r="A43" s="129" t="s">
        <v>35</v>
      </c>
      <c r="B43" s="129"/>
      <c r="D43" s="131" t="s">
        <v>36</v>
      </c>
      <c r="E43" s="131"/>
    </row>
    <row r="44" spans="1:7" ht="15.75" thickBot="1" x14ac:dyDescent="0.3">
      <c r="A44" s="130"/>
      <c r="B44" s="130"/>
      <c r="D44" s="132"/>
      <c r="E44" s="132"/>
    </row>
    <row r="45" spans="1:7" ht="15.75" thickBot="1" x14ac:dyDescent="0.3">
      <c r="A45" s="49"/>
      <c r="B45" s="49"/>
    </row>
    <row r="46" spans="1:7" x14ac:dyDescent="0.25">
      <c r="A46" s="112" t="s">
        <v>37</v>
      </c>
      <c r="B46" s="116">
        <f>SUM(tblRecovery[Bill Amount])</f>
        <v>0</v>
      </c>
      <c r="D46" s="117" t="s">
        <v>21</v>
      </c>
      <c r="E46" s="133">
        <f>COUNTIF(tblRecovery[Bill Status],"Paid")</f>
        <v>0</v>
      </c>
    </row>
    <row r="47" spans="1:7" ht="15.75" thickBot="1" x14ac:dyDescent="0.3">
      <c r="A47" s="113"/>
      <c r="B47" s="121"/>
      <c r="D47" s="118"/>
      <c r="E47" s="134"/>
    </row>
    <row r="48" spans="1:7" ht="21.75" thickBot="1" x14ac:dyDescent="0.3">
      <c r="A48" s="50"/>
      <c r="B48" s="50"/>
    </row>
    <row r="49" spans="1:5" ht="15" customHeight="1" thickBot="1" x14ac:dyDescent="0.3">
      <c r="A49" s="112" t="s">
        <v>38</v>
      </c>
      <c r="B49" s="116">
        <f>SUM(tblRecovery[Recovered Amount])</f>
        <v>0</v>
      </c>
      <c r="D49" s="117" t="s">
        <v>22</v>
      </c>
      <c r="E49" s="119">
        <f>COUNTIF(tblRecovery[Bill Status],"Partial")</f>
        <v>0</v>
      </c>
    </row>
    <row r="50" spans="1:5" ht="15.75" customHeight="1" thickBot="1" x14ac:dyDescent="0.3">
      <c r="A50" s="113"/>
      <c r="B50" s="116"/>
      <c r="D50" s="118"/>
      <c r="E50" s="120"/>
    </row>
    <row r="51" spans="1:5" ht="21.75" thickBot="1" x14ac:dyDescent="0.3">
      <c r="A51" s="50"/>
      <c r="B51" s="50"/>
    </row>
    <row r="52" spans="1:5" x14ac:dyDescent="0.25">
      <c r="A52" s="112" t="s">
        <v>39</v>
      </c>
      <c r="B52" s="116">
        <f>SUM(tblRecovery[Remaining Amount])</f>
        <v>0</v>
      </c>
      <c r="D52" s="117" t="s">
        <v>23</v>
      </c>
      <c r="E52" s="122">
        <f>COUNTIF(tblRecovery[Bill Status],"PTO")</f>
        <v>0</v>
      </c>
    </row>
    <row r="53" spans="1:5" ht="15.75" thickBot="1" x14ac:dyDescent="0.3">
      <c r="A53" s="113"/>
      <c r="B53" s="121"/>
      <c r="D53" s="118"/>
      <c r="E53" s="123"/>
    </row>
    <row r="54" spans="1:5" ht="21.75" thickBot="1" x14ac:dyDescent="0.3">
      <c r="A54" s="50"/>
      <c r="B54" s="50"/>
    </row>
    <row r="55" spans="1:5" x14ac:dyDescent="0.25">
      <c r="A55" s="112" t="s">
        <v>40</v>
      </c>
      <c r="B55" s="114">
        <f>COUNTIF(tblRecovery[Reference No.],"&lt;&gt;")</f>
        <v>0</v>
      </c>
      <c r="D55" s="117" t="s">
        <v>20</v>
      </c>
      <c r="E55" s="110">
        <f>COUNTIF(tblRecovery[Bill Status],"RETURNED")</f>
        <v>0</v>
      </c>
    </row>
    <row r="56" spans="1:5" ht="15.75" thickBot="1" x14ac:dyDescent="0.3">
      <c r="A56" s="113"/>
      <c r="B56" s="115"/>
      <c r="D56" s="118"/>
      <c r="E56" s="111"/>
    </row>
    <row r="57" spans="1:5" ht="21.75" thickBot="1" x14ac:dyDescent="0.3">
      <c r="A57" s="50"/>
      <c r="B57" s="50"/>
    </row>
    <row r="58" spans="1:5" x14ac:dyDescent="0.25">
      <c r="A58" s="112" t="s">
        <v>41</v>
      </c>
      <c r="B58" s="114">
        <f>COUNTIF(tblRecovery[Bill Status],"Returned")</f>
        <v>0</v>
      </c>
      <c r="D58" s="117" t="s">
        <v>71</v>
      </c>
      <c r="E58" s="124">
        <f>COUNTIF(tblRecovery[Bill Status],"HAND OVER TO SUPPLY MAN")</f>
        <v>0</v>
      </c>
    </row>
    <row r="59" spans="1:5" ht="15.75" thickBot="1" x14ac:dyDescent="0.3">
      <c r="A59" s="113"/>
      <c r="B59" s="115"/>
      <c r="D59" s="118"/>
      <c r="E59" s="125"/>
    </row>
    <row r="60" spans="1:5" ht="21.75" thickBot="1" x14ac:dyDescent="0.4">
      <c r="A60" s="51"/>
      <c r="B60" s="51"/>
    </row>
    <row r="61" spans="1:5" x14ac:dyDescent="0.25">
      <c r="A61" s="112" t="s">
        <v>42</v>
      </c>
      <c r="B61" s="127">
        <f>IF(B46=0,0,B49/B46)</f>
        <v>0</v>
      </c>
    </row>
    <row r="62" spans="1:5" ht="15.75" thickBot="1" x14ac:dyDescent="0.3">
      <c r="A62" s="113"/>
      <c r="B62" s="128"/>
    </row>
  </sheetData>
  <mergeCells count="33">
    <mergeCell ref="B1:D3"/>
    <mergeCell ref="A61:A62"/>
    <mergeCell ref="B61:B62"/>
    <mergeCell ref="A55:A56"/>
    <mergeCell ref="B55:B56"/>
    <mergeCell ref="D55:D56"/>
    <mergeCell ref="D58:D59"/>
    <mergeCell ref="A43:B44"/>
    <mergeCell ref="D43:E44"/>
    <mergeCell ref="A46:A47"/>
    <mergeCell ref="B46:B47"/>
    <mergeCell ref="D46:D47"/>
    <mergeCell ref="E46:E47"/>
    <mergeCell ref="A6:A7"/>
    <mergeCell ref="C6:C7"/>
    <mergeCell ref="E6:E7"/>
    <mergeCell ref="E55:E56"/>
    <mergeCell ref="A58:A59"/>
    <mergeCell ref="B58:B59"/>
    <mergeCell ref="A49:A50"/>
    <mergeCell ref="B49:B50"/>
    <mergeCell ref="D49:D50"/>
    <mergeCell ref="E49:E50"/>
    <mergeCell ref="A52:A53"/>
    <mergeCell ref="B52:B53"/>
    <mergeCell ref="D52:D53"/>
    <mergeCell ref="E52:E53"/>
    <mergeCell ref="E58:E59"/>
    <mergeCell ref="G6:G7"/>
    <mergeCell ref="A8:A9"/>
    <mergeCell ref="C8:C9"/>
    <mergeCell ref="E8:E9"/>
    <mergeCell ref="G8:G9"/>
  </mergeCells>
  <conditionalFormatting sqref="E57">
    <cfRule type="cellIs" dxfId="66" priority="11" operator="equal">
      <formula>"PTO"</formula>
    </cfRule>
  </conditionalFormatting>
  <conditionalFormatting sqref="F14:F39">
    <cfRule type="cellIs" dxfId="65" priority="9" operator="equal">
      <formula>"PARTIAL"</formula>
    </cfRule>
    <cfRule type="cellIs" dxfId="64" priority="10" operator="equal">
      <formula>"PTO"</formula>
    </cfRule>
  </conditionalFormatting>
  <conditionalFormatting sqref="F15:F39">
    <cfRule type="cellIs" dxfId="63" priority="4" operator="equal">
      <formula>"RETURNED"</formula>
    </cfRule>
    <cfRule type="cellIs" dxfId="62" priority="5" operator="equal">
      <formula>"HAND OVER TO SUPPLY MAN"</formula>
    </cfRule>
    <cfRule type="cellIs" dxfId="61" priority="14" operator="equal">
      <formula>"PAID"</formula>
    </cfRule>
  </conditionalFormatting>
  <conditionalFormatting sqref="G42">
    <cfRule type="cellIs" dxfId="60" priority="12" operator="equal">
      <formula>"PTO"</formula>
    </cfRule>
  </conditionalFormatting>
  <conditionalFormatting sqref="E60">
    <cfRule type="cellIs" dxfId="59" priority="6" operator="equal">
      <formula>"HAND OVER TO SUPPLY MAN"</formula>
    </cfRule>
  </conditionalFormatting>
  <conditionalFormatting sqref="G8:G9">
    <cfRule type="cellIs" dxfId="58" priority="1" operator="equal">
      <formula>"OUT OF CITY"</formula>
    </cfRule>
    <cfRule type="cellIs" dxfId="57" priority="2" operator="equal">
      <formula>"LEAVE"</formula>
    </cfRule>
    <cfRule type="cellIs" dxfId="56" priority="3" operator="equal">
      <formula>"WORKING"</formula>
    </cfRule>
  </conditionalFormatting>
  <conditionalFormatting sqref="E15:E39">
    <cfRule type="expression" dxfId="55" priority="15" stopIfTrue="1">
      <formula>AND(C15="",D15="")</formula>
    </cfRule>
  </conditionalFormatting>
  <dataValidations count="1">
    <dataValidation type="date" allowBlank="1" showInputMessage="1" showErrorMessage="1" sqref="C8:C9" xr:uid="{45639D6F-4C08-48A1-81C0-D23BC0024B74}">
      <formula1>46023</formula1>
      <formula2>46387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868C-7C45-4A4C-9BC5-5F68B472A8AA}">
  <sheetPr codeName="Sheet4"/>
  <dimension ref="A1:K75"/>
  <sheetViews>
    <sheetView topLeftCell="A18" zoomScaleNormal="100" workbookViewId="0">
      <selection activeCell="D28" sqref="D28"/>
    </sheetView>
  </sheetViews>
  <sheetFormatPr defaultRowHeight="15" x14ac:dyDescent="0.25"/>
  <cols>
    <col min="1" max="1" width="30" style="40" bestFit="1" customWidth="1"/>
    <col min="2" max="2" width="52.42578125" style="40" customWidth="1"/>
    <col min="3" max="3" width="26.85546875" style="41" customWidth="1"/>
    <col min="4" max="4" width="32" style="41" customWidth="1"/>
    <col min="5" max="5" width="33.7109375" style="40" bestFit="1" customWidth="1"/>
    <col min="6" max="6" width="74" style="40" customWidth="1"/>
    <col min="7" max="7" width="15.85546875" style="40" customWidth="1"/>
    <col min="8" max="8" width="12.42578125" style="40" customWidth="1"/>
    <col min="9" max="10" width="9.140625" style="40"/>
    <col min="11" max="11" width="10.28515625" style="40" bestFit="1" customWidth="1"/>
    <col min="12" max="16384" width="9.140625" style="40"/>
  </cols>
  <sheetData>
    <row r="1" spans="1:11" x14ac:dyDescent="0.25">
      <c r="C1" s="83" t="s">
        <v>55</v>
      </c>
      <c r="D1" s="83"/>
      <c r="E1" s="83"/>
    </row>
    <row r="2" spans="1:11" x14ac:dyDescent="0.25">
      <c r="C2" s="83"/>
      <c r="D2" s="83"/>
      <c r="E2" s="83"/>
    </row>
    <row r="3" spans="1:11" x14ac:dyDescent="0.25">
      <c r="C3" s="83"/>
      <c r="D3" s="83"/>
      <c r="E3" s="83"/>
    </row>
    <row r="5" spans="1:11" ht="15.75" thickBot="1" x14ac:dyDescent="0.3"/>
    <row r="6" spans="1:11" ht="15" customHeight="1" x14ac:dyDescent="0.25">
      <c r="A6" s="76" t="s">
        <v>56</v>
      </c>
      <c r="C6" s="76" t="s">
        <v>57</v>
      </c>
      <c r="D6" s="45"/>
      <c r="E6" s="76" t="s">
        <v>58</v>
      </c>
      <c r="F6" s="44"/>
    </row>
    <row r="7" spans="1:11" ht="15.75" customHeight="1" thickBot="1" x14ac:dyDescent="0.3">
      <c r="A7" s="77"/>
      <c r="C7" s="77"/>
      <c r="D7" s="45"/>
      <c r="E7" s="77"/>
      <c r="F7" s="44"/>
      <c r="K7" s="43"/>
    </row>
    <row r="8" spans="1:11" ht="15" customHeight="1" x14ac:dyDescent="0.25">
      <c r="A8" s="78"/>
      <c r="C8" s="84" t="s">
        <v>60</v>
      </c>
      <c r="E8" s="78"/>
      <c r="F8" s="44"/>
      <c r="K8" s="43"/>
    </row>
    <row r="9" spans="1:11" ht="15.75" customHeight="1" thickBot="1" x14ac:dyDescent="0.3">
      <c r="A9" s="79"/>
      <c r="C9" s="85"/>
      <c r="E9" s="79"/>
      <c r="F9" s="44"/>
      <c r="K9" s="43"/>
    </row>
    <row r="10" spans="1:11" x14ac:dyDescent="0.25">
      <c r="E10" s="44"/>
      <c r="F10" s="44"/>
      <c r="K10" s="43"/>
    </row>
    <row r="11" spans="1:11" x14ac:dyDescent="0.25">
      <c r="E11" s="44"/>
      <c r="F11" s="44"/>
      <c r="K11" s="43"/>
    </row>
    <row r="14" spans="1:11" ht="24.75" thickBot="1" x14ac:dyDescent="0.3">
      <c r="A14" s="28" t="s">
        <v>45</v>
      </c>
      <c r="B14" s="29" t="s">
        <v>46</v>
      </c>
      <c r="C14" s="30" t="s">
        <v>47</v>
      </c>
      <c r="D14" s="31" t="s">
        <v>59</v>
      </c>
      <c r="E14" s="32" t="s">
        <v>48</v>
      </c>
      <c r="F14" s="29" t="s">
        <v>34</v>
      </c>
    </row>
    <row r="15" spans="1:11" ht="21.75" thickBot="1" x14ac:dyDescent="0.3">
      <c r="A15" s="33"/>
      <c r="B15" s="55"/>
      <c r="C15" s="62"/>
      <c r="D15" s="63"/>
      <c r="E15" s="66" t="str">
        <f>IF(AND(tblKhata[[#This Row],[Debit]]="",tblKhata[[#This Row],[Credit]]=""),"",SUM($E$8,INDEX(tblKhata[Debit],1):tblKhata[[#This Row],[Debit]])-SUM(INDEX(tblKhata[Credit],1):tblKhata[[#This Row],[Credit]]))</f>
        <v/>
      </c>
      <c r="F15" s="38"/>
    </row>
    <row r="16" spans="1:11" ht="21.75" thickBot="1" x14ac:dyDescent="0.3">
      <c r="A16" s="33"/>
      <c r="B16" s="55"/>
      <c r="C16" s="62"/>
      <c r="D16" s="63"/>
      <c r="E16" s="66" t="str">
        <f>IF(AND(tblKhata[[#This Row],[Debit]]="",tblKhata[[#This Row],[Credit]]=""),"",SUM($E$8,INDEX(tblKhata[Debit],1):tblKhata[[#This Row],[Debit]])-SUM(INDEX(tblKhata[Credit],1):tblKhata[[#This Row],[Credit]]))</f>
        <v/>
      </c>
      <c r="F16" s="37"/>
    </row>
    <row r="17" spans="1:6" ht="21.75" thickBot="1" x14ac:dyDescent="0.3">
      <c r="A17" s="33"/>
      <c r="B17" s="55"/>
      <c r="C17" s="62"/>
      <c r="D17" s="63"/>
      <c r="E17" s="66" t="str">
        <f>IF(AND(tblKhata[[#This Row],[Debit]]="",tblKhata[[#This Row],[Credit]]=""),"",SUM($E$8,INDEX(tblKhata[Debit],1):tblKhata[[#This Row],[Debit]])-SUM(INDEX(tblKhata[Credit],1):tblKhata[[#This Row],[Credit]]))</f>
        <v/>
      </c>
      <c r="F17" s="37"/>
    </row>
    <row r="18" spans="1:6" ht="21.75" thickBot="1" x14ac:dyDescent="0.3">
      <c r="A18" s="33"/>
      <c r="B18" s="55"/>
      <c r="C18" s="63"/>
      <c r="D18" s="63"/>
      <c r="E18" s="66" t="str">
        <f>IF(AND(tblKhata[[#This Row],[Debit]]="",tblKhata[[#This Row],[Credit]]=""),"",SUM($E$8,INDEX(tblKhata[Debit],1):tblKhata[[#This Row],[Debit]])-SUM(INDEX(tblKhata[Credit],1):tblKhata[[#This Row],[Credit]]))</f>
        <v/>
      </c>
      <c r="F18" s="37"/>
    </row>
    <row r="19" spans="1:6" ht="21.75" thickBot="1" x14ac:dyDescent="0.3">
      <c r="A19" s="33"/>
      <c r="B19" s="55"/>
      <c r="C19" s="63"/>
      <c r="D19" s="63"/>
      <c r="E19" s="66" t="str">
        <f>IF(AND(tblKhata[[#This Row],[Debit]]="",tblKhata[[#This Row],[Credit]]=""),"",SUM($E$8,INDEX(tblKhata[Debit],1):tblKhata[[#This Row],[Debit]])-SUM(INDEX(tblKhata[Credit],1):tblKhata[[#This Row],[Credit]]))</f>
        <v/>
      </c>
      <c r="F19" s="37"/>
    </row>
    <row r="20" spans="1:6" ht="21.75" thickBot="1" x14ac:dyDescent="0.3">
      <c r="A20" s="33"/>
      <c r="B20" s="55"/>
      <c r="C20" s="63"/>
      <c r="D20" s="63"/>
      <c r="E20" s="66" t="str">
        <f>IF(AND(tblKhata[[#This Row],[Debit]]="",tblKhata[[#This Row],[Credit]]=""),"",SUM($E$8,INDEX(tblKhata[Debit],1):tblKhata[[#This Row],[Debit]])-SUM(INDEX(tblKhata[Credit],1):tblKhata[[#This Row],[Credit]]))</f>
        <v/>
      </c>
      <c r="F20" s="37"/>
    </row>
    <row r="21" spans="1:6" ht="21.75" thickBot="1" x14ac:dyDescent="0.3">
      <c r="A21" s="33"/>
      <c r="B21" s="55"/>
      <c r="C21" s="63"/>
      <c r="D21" s="63"/>
      <c r="E21" s="66" t="str">
        <f>IF(AND(tblKhata[[#This Row],[Debit]]="",tblKhata[[#This Row],[Credit]]=""),"",SUM($E$8,INDEX(tblKhata[Debit],1):tblKhata[[#This Row],[Debit]])-SUM(INDEX(tblKhata[Credit],1):tblKhata[[#This Row],[Credit]]))</f>
        <v/>
      </c>
      <c r="F21" s="37"/>
    </row>
    <row r="22" spans="1:6" ht="21.75" thickBot="1" x14ac:dyDescent="0.3">
      <c r="A22" s="33"/>
      <c r="B22" s="55"/>
      <c r="C22" s="63"/>
      <c r="D22" s="63"/>
      <c r="E22" s="66" t="str">
        <f>IF(AND(tblKhata[[#This Row],[Debit]]="",tblKhata[[#This Row],[Credit]]=""),"",SUM($E$8,INDEX(tblKhata[Debit],1):tblKhata[[#This Row],[Debit]])-SUM(INDEX(tblKhata[Credit],1):tblKhata[[#This Row],[Credit]]))</f>
        <v/>
      </c>
      <c r="F22" s="37"/>
    </row>
    <row r="23" spans="1:6" ht="21.75" thickBot="1" x14ac:dyDescent="0.3">
      <c r="A23" s="33"/>
      <c r="B23" s="55"/>
      <c r="C23" s="63"/>
      <c r="D23" s="63"/>
      <c r="E23" s="66" t="str">
        <f>IF(AND(tblKhata[[#This Row],[Debit]]="",tblKhata[[#This Row],[Credit]]=""),"",SUM($E$8,INDEX(tblKhata[Debit],1):tblKhata[[#This Row],[Debit]])-SUM(INDEX(tblKhata[Credit],1):tblKhata[[#This Row],[Credit]]))</f>
        <v/>
      </c>
      <c r="F23" s="37"/>
    </row>
    <row r="24" spans="1:6" ht="21.75" thickBot="1" x14ac:dyDescent="0.3">
      <c r="A24" s="33"/>
      <c r="B24" s="55"/>
      <c r="C24" s="63"/>
      <c r="D24" s="63"/>
      <c r="E24" s="66" t="str">
        <f>IF(AND(tblKhata[[#This Row],[Debit]]="",tblKhata[[#This Row],[Credit]]=""),"",SUM($E$8,INDEX(tblKhata[Debit],1):tblKhata[[#This Row],[Debit]])-SUM(INDEX(tblKhata[Credit],1):tblKhata[[#This Row],[Credit]]))</f>
        <v/>
      </c>
      <c r="F24" s="39"/>
    </row>
    <row r="25" spans="1:6" ht="21.75" thickBot="1" x14ac:dyDescent="0.3">
      <c r="A25" s="33"/>
      <c r="B25" s="55"/>
      <c r="C25" s="63"/>
      <c r="D25" s="63"/>
      <c r="E25" s="67" t="str">
        <f>IF(AND(tblKhata[[#This Row],[Debit]]="",tblKhata[[#This Row],[Credit]]=""),"",SUM($E$8,INDEX(tblKhata[Debit],1):tblKhata[[#This Row],[Debit]])-SUM(INDEX(tblKhata[Credit],1):tblKhata[[#This Row],[Credit]]))</f>
        <v/>
      </c>
      <c r="F25" s="65"/>
    </row>
    <row r="26" spans="1:6" ht="15" customHeight="1" x14ac:dyDescent="0.25"/>
    <row r="27" spans="1:6" ht="15.75" customHeight="1" x14ac:dyDescent="0.25"/>
    <row r="28" spans="1:6" ht="15.75" thickBot="1" x14ac:dyDescent="0.3">
      <c r="D28" s="45"/>
    </row>
    <row r="29" spans="1:6" ht="15" customHeight="1" x14ac:dyDescent="0.25">
      <c r="A29" s="68" t="s">
        <v>49</v>
      </c>
      <c r="B29" s="69"/>
      <c r="D29" s="80"/>
    </row>
    <row r="30" spans="1:6" ht="15.75" customHeight="1" thickBot="1" x14ac:dyDescent="0.3">
      <c r="A30" s="70"/>
      <c r="B30" s="71"/>
      <c r="D30" s="80"/>
    </row>
    <row r="31" spans="1:6" ht="15.75" thickBot="1" x14ac:dyDescent="0.3">
      <c r="A31" s="43"/>
      <c r="B31" s="43"/>
      <c r="D31" s="45"/>
    </row>
    <row r="32" spans="1:6" ht="15" customHeight="1" x14ac:dyDescent="0.25">
      <c r="A32" s="72" t="s">
        <v>52</v>
      </c>
      <c r="B32" s="74">
        <f>SUM(tblKhata[Debit])</f>
        <v>0</v>
      </c>
      <c r="D32" s="80"/>
    </row>
    <row r="33" spans="1:4" ht="15.75" customHeight="1" thickBot="1" x14ac:dyDescent="0.3">
      <c r="A33" s="73"/>
      <c r="B33" s="75"/>
      <c r="D33" s="80"/>
    </row>
    <row r="34" spans="1:4" ht="21.75" thickBot="1" x14ac:dyDescent="0.3">
      <c r="A34" s="42"/>
      <c r="B34" s="42"/>
      <c r="D34" s="45"/>
    </row>
    <row r="35" spans="1:4" ht="15" customHeight="1" x14ac:dyDescent="0.25">
      <c r="A35" s="72" t="s">
        <v>53</v>
      </c>
      <c r="B35" s="81">
        <f>SUM(tblKhata[Credit])</f>
        <v>0</v>
      </c>
      <c r="D35" s="80"/>
    </row>
    <row r="36" spans="1:4" ht="15.75" customHeight="1" thickBot="1" x14ac:dyDescent="0.3">
      <c r="A36" s="73"/>
      <c r="B36" s="82"/>
      <c r="D36" s="80"/>
    </row>
    <row r="37" spans="1:4" ht="21.75" thickBot="1" x14ac:dyDescent="0.3">
      <c r="A37" s="42"/>
      <c r="B37" s="42"/>
      <c r="D37" s="45"/>
    </row>
    <row r="38" spans="1:4" x14ac:dyDescent="0.25">
      <c r="A38" s="72" t="s">
        <v>54</v>
      </c>
      <c r="B38" s="74">
        <f>$E$8+SUM(tblKhata[Debit])-SUM(tblKhata[Credit])</f>
        <v>0</v>
      </c>
      <c r="D38" s="80"/>
    </row>
    <row r="39" spans="1:4" ht="15.75" thickBot="1" x14ac:dyDescent="0.3">
      <c r="A39" s="73"/>
      <c r="B39" s="75"/>
      <c r="D39" s="80"/>
    </row>
    <row r="40" spans="1:4" ht="21" x14ac:dyDescent="0.25">
      <c r="A40" s="42"/>
      <c r="B40" s="42"/>
      <c r="D40" s="45"/>
    </row>
    <row r="41" spans="1:4" x14ac:dyDescent="0.25">
      <c r="D41" s="45"/>
    </row>
    <row r="42" spans="1:4" x14ac:dyDescent="0.25">
      <c r="D42" s="45"/>
    </row>
    <row r="43" spans="1:4" x14ac:dyDescent="0.25">
      <c r="D43" s="45"/>
    </row>
    <row r="44" spans="1:4" x14ac:dyDescent="0.25">
      <c r="D44" s="45"/>
    </row>
    <row r="45" spans="1:4" x14ac:dyDescent="0.25">
      <c r="D45" s="45"/>
    </row>
    <row r="46" spans="1:4" x14ac:dyDescent="0.25">
      <c r="D46" s="45"/>
    </row>
    <row r="47" spans="1:4" x14ac:dyDescent="0.25">
      <c r="D47" s="45"/>
    </row>
    <row r="48" spans="1:4" x14ac:dyDescent="0.25">
      <c r="D48" s="45"/>
    </row>
    <row r="49" spans="4:4" x14ac:dyDescent="0.25">
      <c r="D49" s="45"/>
    </row>
    <row r="50" spans="4:4" x14ac:dyDescent="0.25">
      <c r="D50" s="45"/>
    </row>
    <row r="51" spans="4:4" x14ac:dyDescent="0.25">
      <c r="D51" s="45"/>
    </row>
    <row r="52" spans="4:4" x14ac:dyDescent="0.25">
      <c r="D52" s="45"/>
    </row>
    <row r="53" spans="4:4" x14ac:dyDescent="0.25">
      <c r="D53" s="45"/>
    </row>
    <row r="54" spans="4:4" x14ac:dyDescent="0.25">
      <c r="D54" s="45"/>
    </row>
    <row r="55" spans="4:4" x14ac:dyDescent="0.25">
      <c r="D55" s="45"/>
    </row>
    <row r="56" spans="4:4" x14ac:dyDescent="0.25">
      <c r="D56" s="45"/>
    </row>
    <row r="57" spans="4:4" x14ac:dyDescent="0.25">
      <c r="D57" s="45"/>
    </row>
    <row r="58" spans="4:4" x14ac:dyDescent="0.25">
      <c r="D58" s="45"/>
    </row>
    <row r="59" spans="4:4" x14ac:dyDescent="0.25">
      <c r="D59" s="45"/>
    </row>
    <row r="60" spans="4:4" x14ac:dyDescent="0.25">
      <c r="D60" s="45"/>
    </row>
    <row r="61" spans="4:4" x14ac:dyDescent="0.25">
      <c r="D61" s="45"/>
    </row>
    <row r="62" spans="4:4" x14ac:dyDescent="0.25">
      <c r="D62" s="45"/>
    </row>
    <row r="63" spans="4:4" x14ac:dyDescent="0.25">
      <c r="D63" s="45"/>
    </row>
    <row r="64" spans="4:4" x14ac:dyDescent="0.25">
      <c r="D64" s="45"/>
    </row>
    <row r="65" spans="4:4" x14ac:dyDescent="0.25">
      <c r="D65" s="45"/>
    </row>
    <row r="66" spans="4:4" x14ac:dyDescent="0.25">
      <c r="D66" s="45"/>
    </row>
    <row r="67" spans="4:4" x14ac:dyDescent="0.25">
      <c r="D67" s="45"/>
    </row>
    <row r="68" spans="4:4" x14ac:dyDescent="0.25">
      <c r="D68" s="45"/>
    </row>
    <row r="69" spans="4:4" x14ac:dyDescent="0.25">
      <c r="D69" s="45"/>
    </row>
    <row r="70" spans="4:4" x14ac:dyDescent="0.25">
      <c r="D70" s="45"/>
    </row>
    <row r="71" spans="4:4" x14ac:dyDescent="0.25">
      <c r="D71" s="45"/>
    </row>
    <row r="72" spans="4:4" x14ac:dyDescent="0.25">
      <c r="D72" s="45"/>
    </row>
    <row r="73" spans="4:4" x14ac:dyDescent="0.25">
      <c r="D73" s="45"/>
    </row>
    <row r="74" spans="4:4" x14ac:dyDescent="0.25">
      <c r="D74" s="45"/>
    </row>
    <row r="75" spans="4:4" x14ac:dyDescent="0.25">
      <c r="D75" s="45"/>
    </row>
  </sheetData>
  <mergeCells count="18">
    <mergeCell ref="C1:E3"/>
    <mergeCell ref="C6:C7"/>
    <mergeCell ref="C8:C9"/>
    <mergeCell ref="D32:D33"/>
    <mergeCell ref="D29:D30"/>
    <mergeCell ref="D38:D39"/>
    <mergeCell ref="D35:D36"/>
    <mergeCell ref="A38:A39"/>
    <mergeCell ref="B38:B39"/>
    <mergeCell ref="A35:A36"/>
    <mergeCell ref="B35:B36"/>
    <mergeCell ref="A29:B30"/>
    <mergeCell ref="A32:A33"/>
    <mergeCell ref="B32:B33"/>
    <mergeCell ref="A6:A7"/>
    <mergeCell ref="E6:E7"/>
    <mergeCell ref="A8:A9"/>
    <mergeCell ref="E8:E9"/>
  </mergeCells>
  <conditionalFormatting sqref="E28">
    <cfRule type="cellIs" dxfId="77" priority="8" operator="equal">
      <formula>"PTO"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E2EA3-18AE-4ACD-B98C-702D98A2B6B8}">
  <sheetPr codeName="Sheet2"/>
  <dimension ref="A1:O20"/>
  <sheetViews>
    <sheetView showGridLines="0" tabSelected="1" workbookViewId="0">
      <selection activeCell="C1" sqref="C1:H3"/>
    </sheetView>
  </sheetViews>
  <sheetFormatPr defaultRowHeight="15" x14ac:dyDescent="0.25"/>
  <cols>
    <col min="1" max="1" width="14.28515625" style="17" bestFit="1" customWidth="1"/>
    <col min="2" max="2" width="46.140625" style="17" customWidth="1"/>
    <col min="3" max="3" width="11.28515625" style="17" customWidth="1"/>
    <col min="4" max="4" width="32.5703125" style="22" bestFit="1" customWidth="1"/>
    <col min="5" max="5" width="9.140625" style="17"/>
    <col min="6" max="6" width="12" style="17" bestFit="1" customWidth="1"/>
    <col min="7" max="7" width="9.140625" style="17"/>
    <col min="8" max="8" width="13.42578125" style="17" bestFit="1" customWidth="1"/>
    <col min="9" max="9" width="17.28515625" style="17" bestFit="1" customWidth="1"/>
    <col min="10" max="10" width="9.140625" style="17"/>
    <col min="11" max="11" width="33.85546875" style="17" bestFit="1" customWidth="1"/>
    <col min="12" max="12" width="9.140625" style="17"/>
    <col min="13" max="13" width="21.42578125" style="17" bestFit="1" customWidth="1"/>
    <col min="14" max="14" width="17.85546875" style="17" customWidth="1"/>
    <col min="15" max="15" width="34" style="17" bestFit="1" customWidth="1"/>
    <col min="16" max="16384" width="9.140625" style="17"/>
  </cols>
  <sheetData>
    <row r="1" spans="1:15" x14ac:dyDescent="0.25">
      <c r="C1" s="135" t="s">
        <v>15</v>
      </c>
      <c r="D1" s="136"/>
      <c r="E1" s="136"/>
      <c r="F1" s="136"/>
      <c r="G1" s="136"/>
      <c r="H1" s="137"/>
    </row>
    <row r="2" spans="1:15" x14ac:dyDescent="0.25">
      <c r="C2" s="138"/>
      <c r="D2" s="139"/>
      <c r="E2" s="139"/>
      <c r="F2" s="139"/>
      <c r="G2" s="139"/>
      <c r="H2" s="140"/>
    </row>
    <row r="3" spans="1:15" ht="15.75" thickBot="1" x14ac:dyDescent="0.3">
      <c r="C3" s="141"/>
      <c r="D3" s="142"/>
      <c r="E3" s="142"/>
      <c r="F3" s="142"/>
      <c r="G3" s="142"/>
      <c r="H3" s="143"/>
    </row>
    <row r="5" spans="1:15" ht="15.75" thickBot="1" x14ac:dyDescent="0.3"/>
    <row r="6" spans="1:15" ht="15.75" thickBot="1" x14ac:dyDescent="0.3">
      <c r="A6" s="147" t="s">
        <v>5</v>
      </c>
      <c r="B6" s="148"/>
      <c r="D6" s="146" t="s">
        <v>12</v>
      </c>
      <c r="F6" s="146" t="s">
        <v>13</v>
      </c>
      <c r="H6" s="147" t="s">
        <v>14</v>
      </c>
      <c r="I6" s="148"/>
      <c r="K6" s="144" t="s">
        <v>43</v>
      </c>
      <c r="M6" s="146" t="s">
        <v>28</v>
      </c>
      <c r="O6" s="146" t="s">
        <v>24</v>
      </c>
    </row>
    <row r="7" spans="1:15" ht="15.75" thickBot="1" x14ac:dyDescent="0.3">
      <c r="A7" s="149"/>
      <c r="B7" s="150"/>
      <c r="D7" s="146"/>
      <c r="F7" s="146"/>
      <c r="H7" s="149"/>
      <c r="I7" s="150"/>
      <c r="K7" s="145"/>
      <c r="M7" s="146"/>
      <c r="O7" s="144"/>
    </row>
    <row r="8" spans="1:15" ht="21.75" thickBot="1" x14ac:dyDescent="0.3">
      <c r="A8" s="8" t="s">
        <v>0</v>
      </c>
      <c r="B8" s="9" t="s">
        <v>1</v>
      </c>
      <c r="D8" s="23" t="s">
        <v>3</v>
      </c>
      <c r="F8" s="25" t="s">
        <v>7</v>
      </c>
      <c r="H8" s="13" t="s">
        <v>11</v>
      </c>
      <c r="I8" s="14" t="s">
        <v>10</v>
      </c>
      <c r="K8" s="26" t="s">
        <v>19</v>
      </c>
      <c r="M8" s="26" t="s">
        <v>4</v>
      </c>
      <c r="O8" s="20" t="s">
        <v>2</v>
      </c>
    </row>
    <row r="9" spans="1:15" ht="19.5" thickBot="1" x14ac:dyDescent="0.3">
      <c r="A9" s="10" t="s">
        <v>5</v>
      </c>
      <c r="B9" s="11" t="s">
        <v>84</v>
      </c>
      <c r="D9" s="21" t="s">
        <v>65</v>
      </c>
      <c r="F9" s="21">
        <v>2026</v>
      </c>
      <c r="H9" s="10">
        <v>1</v>
      </c>
      <c r="I9" s="15" t="s">
        <v>72</v>
      </c>
      <c r="K9" s="21" t="s">
        <v>23</v>
      </c>
      <c r="M9" s="21" t="s">
        <v>18</v>
      </c>
      <c r="O9" s="19" t="s">
        <v>61</v>
      </c>
    </row>
    <row r="10" spans="1:15" ht="19.5" thickBot="1" x14ac:dyDescent="0.3">
      <c r="A10" s="12" t="s">
        <v>5</v>
      </c>
      <c r="B10" s="11" t="s">
        <v>85</v>
      </c>
      <c r="D10" s="21" t="s">
        <v>66</v>
      </c>
      <c r="F10" s="21">
        <v>2027</v>
      </c>
      <c r="H10" s="10">
        <v>2</v>
      </c>
      <c r="I10" s="15" t="s">
        <v>73</v>
      </c>
      <c r="K10" s="21" t="s">
        <v>22</v>
      </c>
      <c r="M10" s="21" t="s">
        <v>17</v>
      </c>
      <c r="O10" s="19" t="s">
        <v>62</v>
      </c>
    </row>
    <row r="11" spans="1:15" ht="19.5" thickBot="1" x14ac:dyDescent="0.3">
      <c r="D11" s="21" t="s">
        <v>67</v>
      </c>
      <c r="F11" s="21">
        <v>2028</v>
      </c>
      <c r="H11" s="12">
        <v>3</v>
      </c>
      <c r="I11" s="16" t="s">
        <v>74</v>
      </c>
      <c r="K11" s="21" t="s">
        <v>21</v>
      </c>
      <c r="M11" s="24" t="s">
        <v>16</v>
      </c>
      <c r="O11" s="19" t="s">
        <v>63</v>
      </c>
    </row>
    <row r="12" spans="1:15" ht="19.5" thickBot="1" x14ac:dyDescent="0.3">
      <c r="D12" s="21" t="s">
        <v>68</v>
      </c>
      <c r="F12" s="21">
        <v>2029</v>
      </c>
      <c r="H12" s="10">
        <v>4</v>
      </c>
      <c r="I12" s="15" t="s">
        <v>75</v>
      </c>
      <c r="K12" s="21" t="s">
        <v>44</v>
      </c>
      <c r="O12" s="27" t="s">
        <v>64</v>
      </c>
    </row>
    <row r="13" spans="1:15" ht="19.5" thickBot="1" x14ac:dyDescent="0.3">
      <c r="D13" s="21" t="s">
        <v>69</v>
      </c>
      <c r="F13" s="24">
        <v>2030</v>
      </c>
      <c r="H13" s="10">
        <v>5</v>
      </c>
      <c r="I13" s="15" t="s">
        <v>76</v>
      </c>
      <c r="K13" s="24" t="s">
        <v>20</v>
      </c>
    </row>
    <row r="14" spans="1:15" ht="19.5" thickBot="1" x14ac:dyDescent="0.3">
      <c r="D14" s="24" t="s">
        <v>70</v>
      </c>
      <c r="F14" s="21">
        <v>2031</v>
      </c>
      <c r="H14" s="10">
        <v>6</v>
      </c>
      <c r="I14" s="15" t="s">
        <v>77</v>
      </c>
    </row>
    <row r="15" spans="1:15" ht="19.5" thickBot="1" x14ac:dyDescent="0.3">
      <c r="H15" s="10">
        <v>7</v>
      </c>
      <c r="I15" s="15" t="s">
        <v>78</v>
      </c>
    </row>
    <row r="16" spans="1:15" ht="19.5" thickBot="1" x14ac:dyDescent="0.3">
      <c r="H16" s="10">
        <v>8</v>
      </c>
      <c r="I16" s="15" t="s">
        <v>79</v>
      </c>
    </row>
    <row r="17" spans="8:9" ht="19.5" thickBot="1" x14ac:dyDescent="0.3">
      <c r="H17" s="10">
        <v>9</v>
      </c>
      <c r="I17" s="15" t="s">
        <v>80</v>
      </c>
    </row>
    <row r="18" spans="8:9" ht="19.5" thickBot="1" x14ac:dyDescent="0.3">
      <c r="H18" s="10">
        <v>10</v>
      </c>
      <c r="I18" s="15" t="s">
        <v>81</v>
      </c>
    </row>
    <row r="19" spans="8:9" ht="19.5" thickBot="1" x14ac:dyDescent="0.3">
      <c r="H19" s="10">
        <v>11</v>
      </c>
      <c r="I19" s="15" t="s">
        <v>82</v>
      </c>
    </row>
    <row r="20" spans="8:9" ht="18.75" x14ac:dyDescent="0.25">
      <c r="H20" s="12">
        <v>12</v>
      </c>
      <c r="I20" s="16" t="s">
        <v>83</v>
      </c>
    </row>
  </sheetData>
  <mergeCells count="8">
    <mergeCell ref="C1:H3"/>
    <mergeCell ref="K6:K7"/>
    <mergeCell ref="M6:M7"/>
    <mergeCell ref="O6:O7"/>
    <mergeCell ref="A6:B7"/>
    <mergeCell ref="D6:D7"/>
    <mergeCell ref="F6:F7"/>
    <mergeCell ref="H6:I7"/>
  </mergeCells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Home</vt:lpstr>
      <vt:lpstr>Recovery Template</vt:lpstr>
      <vt:lpstr>Khata Template</vt:lpstr>
      <vt:lpstr>Settings</vt:lpstr>
      <vt:lpstr>AreaList</vt:lpstr>
      <vt:lpstr>empList</vt:lpstr>
      <vt:lpstr>MonthList</vt:lpstr>
      <vt:lpstr>recovrHead</vt:lpstr>
      <vt:lpstr>RefreshStatus</vt:lpstr>
      <vt:lpstr>RootFolderSettings</vt:lpstr>
      <vt:lpstr>selEmployee</vt:lpstr>
      <vt:lpstr>selMonth</vt:lpstr>
      <vt:lpstr>selYear</vt:lpstr>
      <vt:lpstr>txtRootFolder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Rohaan</dc:creator>
  <cp:lastModifiedBy>Mohammad Rohaan</cp:lastModifiedBy>
  <dcterms:created xsi:type="dcterms:W3CDTF">2026-07-04T21:44:10Z</dcterms:created>
  <dcterms:modified xsi:type="dcterms:W3CDTF">2026-08-19T18:06:18Z</dcterms:modified>
</cp:coreProperties>
</file>